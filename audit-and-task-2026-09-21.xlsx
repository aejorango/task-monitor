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4"/>
    <sheet sheetId="2" name="Summary" state="visible" r:id="rId5"/>
  </sheets>
  <calcPr calcId="171027"/>
</workbook>
</file>

<file path=xl/sharedStrings.xml><?xml version="1.0" encoding="utf-8"?>
<sst xmlns="http://schemas.openxmlformats.org/spreadsheetml/2006/main" count="3084" uniqueCount="1179">
  <si>
    <t>Task ID</t>
  </si>
  <si>
    <t>Source ID</t>
  </si>
  <si>
    <t>Release</t>
  </si>
  <si>
    <t>Priority</t>
  </si>
  <si>
    <t>Category</t>
  </si>
  <si>
    <t>Area</t>
  </si>
  <si>
    <t>Task title</t>
  </si>
  <si>
    <t>Detailed instructions</t>
  </si>
  <si>
    <t>Acceptance criteria</t>
  </si>
  <si>
    <t>Files / modules</t>
  </si>
  <si>
    <t>Dependencies</t>
  </si>
  <si>
    <t>Estimate</t>
  </si>
  <si>
    <t>Test instructions</t>
  </si>
  <si>
    <t>Done?</t>
  </si>
  <si>
    <t>Notes</t>
  </si>
  <si>
    <t>Location</t>
  </si>
  <si>
    <t>Risk</t>
  </si>
  <si>
    <t>Recommendation</t>
  </si>
  <si>
    <t>Est. AI cost (USD)</t>
  </si>
  <si>
    <t>T-0001</t>
  </si>
  <si>
    <t>BUG-001</t>
  </si>
  <si>
    <t>v0.2</t>
  </si>
  <si>
    <t>P0</t>
  </si>
  <si>
    <t>Bug</t>
  </si>
  <si>
    <t>Auth</t>
  </si>
  <si>
    <t>Any user can self-assign a company and read its AI key</t>
  </si>
  <si>
    <t xml:space="preserve">The users update rule only pins status, role and email; companyId is free. A regular approved user can call updateDoc(users/{me}, {companyId: X}) from the browser console, after which the companies read rule (isMyCompany) lets them read companies/X including anthropicApiKey and then spend that company's budget. Superadmin-only assignment in Settings is UI-only.
Reproduction: Sign in as a normal approved user. In DevTools run updateDoc on users/&lt;uid&gt; with {companyId:'&lt;any company id&gt;'} (ids are visible to superadmins; brute-force is not needed if the user was ever in a company). Then getDoc(companies/&lt;id&gt;) returns the API key.
Root cause: Self-update rule enumerates immutable fields instead of allowing only displayName/photoURL; companyId is a privilege field written by the same document path.
Fix: In the users update rule add request.resource.data.get('companyId','') == resource.data.get('companyId','') to the self branch (or use diff().affectedKeys().hasOnly(['displayName','photoURL'])). Deploy with npm run deploy:rules. Longer term move the key server-side (see the AI-proxy finding).
Where to see it: Settings → User Management (Company dropdown) / any page with DevTools
Risk of applying: High — Rules change affects every profile write; superadmin assignment path must keep working. No emulator tests exist today. Recommendation: On-Hold.
Files: firestore.rules:340-348 · firestore.rules:301-309 · src/services/firebase.js:271-275</t>
  </si>
  <si>
    <t xml:space="preserve">1. Given an approved non-superadmin user
2. When they write companyId on their own users document
3. Then Firestore rejects the write with permission-denied and no company document becomes readable</t>
  </si>
  <si>
    <t>firestore.rules:340-348 · firestore.rules:301-309 · src/services/firebase.js:271-275</t>
  </si>
  <si>
    <t/>
  </si>
  <si>
    <t>S</t>
  </si>
  <si>
    <t xml:space="preserve">Add a Firestore emulator rules test (firebase emulators:exec) that asserts the self-update with companyId is denied and superadmin update is allowed; manually verify with the console steps above after deploying rules.
Run: npm test</t>
  </si>
  <si>
    <t>YES</t>
  </si>
  <si>
    <t>users self-update is now an allowlist (displayName/photoURL/email only) so companyId cannot be self-assigned; firestore.rules, src/services/firebase.js, tests/rules/{harness,users.rules.test}.mjs, package.json (test:rules), firebase.json (emulator); 11 emulator rules tests added. Deploy with npm run deploy:rules.</t>
  </si>
  <si>
    <t>Settings → User Management (Company dropdown) / any page with DevTools</t>
  </si>
  <si>
    <t>High</t>
  </si>
  <si>
    <t>Proceed</t>
  </si>
  <si>
    <t>T-0002</t>
  </si>
  <si>
    <t>BUG-002</t>
  </si>
  <si>
    <t>Security</t>
  </si>
  <si>
    <t>Invite links let any signed-in user become project admin — API/data layer</t>
  </si>
  <si>
    <t xml:space="preserve">invites create only requires userId == auth.uid, so anyone can create an invite for ANY projectId with role 'admin' and immediately claim it; isClaimingInvite then grants the ACL. Worse, invites are readable by every authenticated user (allow read: if request.auth != null), so all live invite ids (the 'secret' URL) and projectIds are enumerable. presence is also world-readable and leaks taskIds and names across workspaces.
Reproduction: As any approved user, getDocs(collection('invites')) lists every invite. Or addDoc(invites,{userId:me,projectId:&lt;target&gt;,role:'admin',revoked:false,claims:[]}) then call claimInvite(id) → you are admin of the target project and can read/edit its tasks.
Root cause: Invite creation is not gated on project admin/owner rights, invite reads are not restricted to the creator or exact-id lookups, and claim validation trusts the invite doc.
Fix: Rules: allow create only if hasProjectRole(projectId,'admin') || isOwner(project) || isWorkspaceAdmin(project.workspaceId); allow read only to the creator (list) — claiming should fetch by exact doc id (get) which works without list permission; restrict presence read to workspace members or drop cross-workspace fields.
Where to see it: Projects → project editor → Sharing → Generate invite link
Risk of applying: High — Changes rule semantics for invites and presence; getInvite currently uses a query on __name__ which needs list permission — switch it to getDoc. Recommendation: On-Hold.
Scope of this row: server-side changes only (routes, validation, database, spec). Leave the UI for the next row.</t>
  </si>
  <si>
    <t xml:space="preserve">1. Given a user who is not an admin of project P
2. When they create an invite for P
3. Then the write is denied
4. Given a valid invite id
5. When the recipient opens #/invite/&lt;id&gt;
6. Then claim still succeeds</t>
  </si>
  <si>
    <t>firestore.rules:188-198 · firestore.rules:169-186 · firestore.rules:272-278 · src/services/firebase.js:1984-2062</t>
  </si>
  <si>
    <t>M</t>
  </si>
  <si>
    <t xml:space="preserve">Emulator rules tests for: non-admin create denied; admin create allowed; list invites denied for non-creator; get-by-id allowed. Manual: generate link in Projects → Share, open in incognito, accept.
Run: npm test</t>
  </si>
  <si>
    <t>Invites hardened server-side: create requires project/workspace admin, get-by-id only (no list enumeration), updates limited to appending claims, claim can only set the claimers own ACL slot; presence scoped to workspaceId; getInvite switched to getDoc. firestore.rules, src/services/firebase.js, src/hooks/usePresence.js, src/components/TaskEditor.jsx, tests/rules/{invites,presence}.rules.test.mjs; 15 new emulator tests.</t>
  </si>
  <si>
    <t>Projects → project editor → Sharing → Generate invite link</t>
  </si>
  <si>
    <t>T-0003</t>
  </si>
  <si>
    <t>Invite links let any signed-in user become project admin — UI</t>
  </si>
  <si>
    <t xml:space="preserve">invites create only requires userId == auth.uid, so anyone can create an invite for ANY projectId with role 'admin' and immediately claim it; isClaimingInvite then grants the ACL. Worse, invites are readable by every authenticated user (allow read: if request.auth != null), so all live invite ids (the 'secret' URL) and projectIds are enumerable. presence is also world-readable and leaks taskIds and names across workspaces.
Reproduction: As any approved user, getDocs(collection('invites')) lists every invite. Or addDoc(invites,{userId:me,projectId:&lt;target&gt;,role:'admin',revoked:false,claims:[]}) then call claimInvite(id) → you are admin of the target project and can read/edit its tasks.
Root cause: Invite creation is not gated on project admin/owner rights, invite reads are not restricted to the creator or exact-id lookups, and claim validation trusts the invite doc.
Fix: Rules: allow create only if hasProjectRole(projectId,'admin') || isOwner(project) || isWorkspaceAdmin(project.workspaceId); allow read only to the creator (list) — claiming should fetch by exact doc id (get) which works without list permission; restrict presence read to workspace members or drop cross-workspace fields.
Where to see it: Projects → project editor → Sharing → Generate invite link
Risk of applying: High — Changes rule semantics for invites and presence; getInvite currently uses a query on __name__ which needs list permission — switch it to getDoc. Recommendation: On-Hold.
Scope of this row: client-side changes (pages, components, styles) that use the API from T-0002. Plain-language inputs only.</t>
  </si>
  <si>
    <t>Invite UI now mirrors the rules: sharing panel and invite listener gated on canAdministerProject, non-admins get a plain-language explanation instead of a failing button; all Firestore errors in the sharing panel and invite claim screen run through friendlyError. src/services/access.js (new, pure), src/services/access.test.mjs, src/components/ProjectsView.jsx, src/components/InviteClaimView.jsx, src/hooks/usePresence.js; 7 unit tests added.</t>
  </si>
  <si>
    <t>T-0004</t>
  </si>
  <si>
    <t>Test</t>
  </si>
  <si>
    <t>Invite links let any signed-in user become project admin — tests &amp; docs</t>
  </si>
  <si>
    <t>Add automated tests covering BUG-002 (API and, where possible, UI), update README.md/Implementation_plan.md status, append CHANGELOG.md.</t>
  </si>
  <si>
    <t>server/src/app.test.ts · README.md · Implementation_plan.md · CHANGELOG.md</t>
  </si>
  <si>
    <t>T-0002, T-0003</t>
  </si>
  <si>
    <t>npm test passes; docs mention the feature.</t>
  </si>
  <si>
    <t>Tests and docs for BUG-002: 12 invite + 3 presence emulator tests and 7 access-rule unit tests are in place; README gained a "Security model — who can share a project" table and the npm test / test:rules / test:all commands. README.md, CHANGELOG.md. (No Implementation_plan.md exists in this repo.)</t>
  </si>
  <si>
    <t>Low</t>
  </si>
  <si>
    <t>T-0005</t>
  </si>
  <si>
    <t>BUG-003</t>
  </si>
  <si>
    <t>Approval gate is client-side only; pending users can write data</t>
  </si>
  <si>
    <t xml:space="preserve">App.jsx routes pending/rejected users to PendingApprovalView, but firestore.rules never checks users/{uid}.status for workspaces, projects, tasks, activities etc. A rejected user can still create workspaces and documents through the SDK, and can claim invites.
Reproduction: Sign in with an unapproved Google account, then from DevTools call addWorkspace(uid,{name:'x'}) — it succeeds.
Root cause: No isApprovedUser() helper in rules.
Fix: Add function isApproved(){ return exists(users/uid) &amp;&amp; get(users/uid).data.status=='approved'; } and AND it into every create/update/delete rule (and reads except users/{self}).
Where to see it: Waiting for approval screen (whole app)
Risk of applying: High — Adds a document read to every rule evaluation (cost); superadmin bootstrap path must stay allowed. Recommendation: On-Hold.
Files: src/App.jsx:105-113 · firestore.rules:95-112 · firestore.rules:130-148</t>
  </si>
  <si>
    <t xml:space="preserve">1. Given a user whose profile status is pending or rejected
2. When they attempt any Firestore write outside users/{self}
3. Then it is denied</t>
  </si>
  <si>
    <t>src/App.jsx:105-113 · firestore.rules:95-112 · firestore.rules:130-148</t>
  </si>
  <si>
    <t xml:space="preserve">Emulator rules tests with a pending user fixture; manual check via DevTools as above.
Run: npm test</t>
  </si>
  <si>
    <t>Approval is now enforced in firestore.rules: isApproved() folded into every access primitive (isOwner, isCreatingOwn, workspace/project membership, isMyCompany, invite claim) plus the raw workspace/conversation/message/invite rules; users/{self} stays exempt so a new account can create and read its own profile. App.jsx gate turned into an allowlist (status !== approved waits outside). firestore.rules, src/App.jsx, tests/rules/approval.rules.test.mjs; 22 emulator tests added.</t>
  </si>
  <si>
    <t>Waiting for approval screen (whole app)</t>
  </si>
  <si>
    <t>T-0006</t>
  </si>
  <si>
    <t>BUG-004</t>
  </si>
  <si>
    <t>P1</t>
  </si>
  <si>
    <t>DB</t>
  </si>
  <si>
    <t>Next recurring task is created without workspaceId</t>
  </si>
  <si>
    <t xml:space="preserve">spawnNextRecurrence writes the new task without workspaceId (and without assignedTo/links/customValues). The create rule then only passes via the projectId branch, and even when it passes the task is invisible to subscribeToTasks(workspaceId), so the 'next instance' silently never appears on the Board.
Reproduction: Create a task with Recurring = weekly, drag it to Done. Look for the next instance on the Board/Calendar: it is missing (or console shows permission-denied).
Root cause: Copy of the task payload predates the workspace model; addTask enforces workspaceId but spawnNextRecurrence bypasses addTask.
Fix: Reuse addTask(task.userId,{...task fields, workspaceId: task.workspaceId, recurrenceParentId, plan: next}) so all v9+ fields are inherited; add a unit test around nextRecurrenceDates and a spawn test with a mocked addDoc.
Where to see it: Kanban → task card → drag to Done
Risk of applying: High — Creates stored documents; existing orphaned instances need a one-off backfill of workspaceId. Recommendation: On-Hold.
Files: src/services/firebase.js:1060-1111 · src/services/firebase.js:1129-1148</t>
  </si>
  <si>
    <t xml:space="preserve">1. Given a weekly recurring task in workspace W
2. When it is marked done
3. Then a new todo task with the same workspaceId and shifted dates appears on the Board of W</t>
  </si>
  <si>
    <t>src/services/firebase.js:1060-1111 · src/services/firebase.js:1129-1148</t>
  </si>
  <si>
    <t xml:space="preserve">Mark a recurring task done; confirm the new card appears with 🔁 badge and correct dates; check Firestore doc has workspaceId.
Run: npm test</t>
  </si>
  <si>
    <t>spawnNextRecurrence now goes through addTask, so the next instance inherits workspaceId plus assignedTo/links/customValues/phaseId and resets subtasks+dependsOn; recurrence maths extracted to the pure src/services/recurrence.js (re-exported from firebase.js) and covered by 17 unit tests; added repairOrphanedDocuments() to adopt already-orphaned tasks/activities into the users workspace, kicked off once per device from useWorkspaces. src/services/recurrence.js, src/services/recurrence.test.mjs, src/services/firebase.js, src/hooks/useWorkspace.js. Board verification needs a signed-in Firebase session; payload shape is covered by tests.</t>
  </si>
  <si>
    <t>Kanban → task card → drag to Done</t>
  </si>
  <si>
    <t>T-0007</t>
  </si>
  <si>
    <t>IMP-002</t>
  </si>
  <si>
    <t>Infra</t>
  </si>
  <si>
    <t>Bridge lets web pages set the executable it spawns</t>
  </si>
  <si>
    <t xml:space="preserve">POST /ai/settings accepts cliPath and the bridge spawns that path for every question. Any page on an allow-listed origin (including the production site) can point the bridge at an arbitrary local binary with attacker-controlled argv, turning an XSS or compromised deploy into local code execution on the operator's Mac.
Reproduction: From the production site console: fetch('http://127.0.0.1:4319/ai/settings',{method:'POST',headers:{'content-type':'application/json'},body:JSON.stringify({cliPath:'/usr/bin/say'})}) then trigger any AI call.
Root cause: Settings endpoint exposes an unrestricted path field without an auth token.
Fix: Drop cliPath from the HTTP-settable keys (env/config-file only), validate cliModel against a whitelist, and require a per-session token that the UI reads from the bridge console output or a local file.
Where to see it: Settings → AI brain (superadmin) / bridge
Risk of applying: High — Untested path; changes bridge contract used by Settings save. Recommendation: On-Hold.
Files: bridge/server.mjs:254-258 · bridge/ai.mjs:53-69 · bridge/ai.mjs:77-79</t>
  </si>
  <si>
    <t xml:space="preserve">1. Given the bridge is running
2. When a page posts cliPath to /ai/settings
3. Then the response ignores it and the CLI path stays unchanged</t>
  </si>
  <si>
    <t>bridge/server.mjs:254-258 · bridge/ai.mjs:53-69 · bridge/ai.mjs:77-79</t>
  </si>
  <si>
    <t xml:space="preserve">Add a node --test case for setAiSettings ignoring cliPath from HTTP; curl the endpoint and read GET /ai/settings.
Run: npm test</t>
  </si>
  <si>
    <t>Bridge no longer lets a web page choose the binary it spawns: cliPath dropped from the HTTP-settable keys (env TM_BRIDGE_CLI_PATH or config file only), cliModel/apiModel validated against ALLOWED_CLI_MODELS, unknown and prototype keys dropped, and POST /ai/settings now needs a per-session admin code printed at startup and saved to ~/.task-monitor/bridge-token; cliPath redacted from every HTTP response. Frontend sends x-bridge-token and Settings - AI brain now has a model dropdown plus a plain-language admin-code field. bridge/ai.mjs, bridge/server.mjs, bridge/settings.test.mjs, src/services/ai.js, src/components/SettingsView.jsx, README.md; 13 unit tests added, verified live with curl.</t>
  </si>
  <si>
    <t>Settings → AI brain (superadmin) / bridge</t>
  </si>
  <si>
    <t>T-0008</t>
  </si>
  <si>
    <t>IMP-004</t>
  </si>
  <si>
    <t>Improvement</t>
  </si>
  <si>
    <t>UI</t>
  </si>
  <si>
    <t>No error boundary; render errors blank the app</t>
  </si>
  <si>
    <t xml:space="preserve">main.jsx renders App with no React error boundary. A thrown render error (e.g. a task with unexpected data shape in a card) leaves the user with a white page and no recovery.
Reproduction: Temporarily throw inside CardBody; the entire app disappears.
Root cause: Missing boundary component.
Fix: Add an ErrorBoundary around AppShell and around each Suspense view with a friendly message and Reload button; log to console.
Where to see it: All pages
Risk of applying: Low — Additive component. Recommendation: Proceed.
Files: src/main.jsx:7-16 · src/App.jsx:62-116</t>
  </si>
  <si>
    <t xml:space="preserve">1. Given one view throws
2. When it renders
3. Then the sidebar stays usable and the view shows an error card with Retry</t>
  </si>
  <si>
    <t>src/main.jsx:7-16 · src/App.jsx:62-116</t>
  </si>
  <si>
    <t xml:space="preserve">Inject a throw in a lazy view and verify the fallback.
Run: npm test</t>
  </si>
  <si>
    <t>ErrorBoundary added around the whole app (main.jsx, App.jsx invite route) and around each lazy view, so a crashing page leaves the sidebar usable and shows a card with Try again / Reload and a collapsed Technical details line; navigation clears the error. Crash copy extracted to the pure src/services/errorMessages.js (stale-deploy and offline cases named specifically). Also stood up a real DOM test rig (jsdom + a rolldown JSX loader) now wired into npm test. src/components/ErrorBoundary.jsx, src/services/errorMessages.js(+test), src/App.jsx, src/main.jsx, src/App.css, dev/error-boundary.{html,jsx}, tests/ui/{dom,jsx-loader,jsx-hooks,ErrorBoundary.test}.mjs, package.json; 16 tests added.</t>
  </si>
  <si>
    <t>All pages</t>
  </si>
  <si>
    <t>T-0009</t>
  </si>
  <si>
    <t>IMP-005</t>
  </si>
  <si>
    <t>Tests cover only bridge parsing and due-alert rules — API/data layer</t>
  </si>
  <si>
    <t xml:space="preserve">npm test runs bridge/*.test.mjs and src/**/*.test.mjs; untested: recurrence date math, nlpQuickAdd parser, askAi digest/search/action resolution (1,500 lines), CSV parser, and all Firestore security rules. Most of the bugs in this audit sit in untested code.
Reproduction: Run npm test: 3 suites only.
Root cause: Pure logic lives inside firebase.js and components, hard to import in node.
Fix: Extract recurrence and csv parsing into src/services/*.js pure modules with node --test files; add firebase emulator rules tests under tests/rules with a npm run test:rules script.
Where to see it: Developer workflow
Risk of applying: Low — Refactor moves pure functions; behaviour unchanged. Recommendation: Proceed.
Scope of this row: server-side changes only (routes, validation, database, spec). Leave the UI for the next row.</t>
  </si>
  <si>
    <t xml:space="preserve">1. Given npm test
2. When it runs
3. Then recurrence, quick-add parsing, askAi search and rules suites execute and pass</t>
  </si>
  <si>
    <t>package.json:9 · src/services/firebase.js:1018-1058 · src/services/nlpQuickAdd.js · src/services/askAi.js · src/components/CsvImporter.jsx:11-34</t>
  </si>
  <si>
    <t xml:space="preserve">CI: npm test and firebase emulators:exec 'npm run test:rules'.
Run: npm test</t>
  </si>
  <si>
    <t>Pure logic pulled out of components and firebase.js so it can be tested: new src/services/csv.js (RFC-4180 parser, column mapping, plain-language validation, cell normalisers) and src/services/askAiCore.js (digest, intent routing, search, answer builders — no Firebase import, re-exported from askAi.js); parseQuickAdd gained an injectable `now`. 60 new unit tests across csv/nlpQuickAdd/askAiCore on top of the recurrence and rules suites. src/services/{csv,csv.test,askAiCore,askAiCore.test,askAi,nlpQuickAdd,nlpQuickAdd.test}.*</t>
  </si>
  <si>
    <t>Developer workflow</t>
  </si>
  <si>
    <t>T-0010</t>
  </si>
  <si>
    <t>Tests cover only bridge parsing and due-alert rules — UI</t>
  </si>
  <si>
    <t xml:space="preserve">npm test runs bridge/*.test.mjs and src/**/*.test.mjs; untested: recurrence date math, nlpQuickAdd parser, askAi digest/search/action resolution (1,500 lines), CSV parser, and all Firestore security rules. Most of the bugs in this audit sit in untested code.
Reproduction: Run npm test: 3 suites only.
Root cause: Pure logic lives inside firebase.js and components, hard to import in node.
Fix: Extract recurrence and csv parsing into src/services/*.js pure modules with node --test files; add firebase emulator rules tests under tests/rules with a npm run test:rules script.
Where to see it: Developer workflow
Risk of applying: Low — Refactor moves pure functions; behaviour unchanged. Recommendation: Proceed.
Scope of this row: client-side changes (pages, components, styles) that use the API from T-0009. Plain-language inputs only.</t>
  </si>
  <si>
    <t>CsvImporter now uses services/csv.js end to end (readActivityCsv + buildImportPreview + summarizeImport) instead of its own private copies, and the preview strip says in plain words what the import will do (rows imported, added to existing tasks, new tasks, hours, rows skipped and why) before anything is written; unreadable files explain themselves. Added tests/ui/CsvImporter.test.mjs (5 real-DOM tests) and taught the test loader to stand in for import.meta.env. src/components/CsvImporter.jsx, src/services/csv.js(+test), tests/ui/{CsvImporter.test,dom,jsx-hooks}.mjs; 16 tests added.</t>
  </si>
  <si>
    <t>T-0011</t>
  </si>
  <si>
    <t>Tests cover only bridge parsing and due-alert rules — tests &amp; docs</t>
  </si>
  <si>
    <t>Add automated tests covering IMP-005 (API and, where possible, UI), update README.md/Implementation_plan.md status, append CHANGELOG.md.</t>
  </si>
  <si>
    <t>T-0009, T-0010</t>
  </si>
  <si>
    <t>Tests and docs for IMP-005: npm test now runs 177 tests across 12 suites (bridge, due alerts, recurrence, csv, quick-add, askAiCore, access, error messages, and real-DOM component tests) and npm run test:rules runs 48 emulator tests; README gained a Tests section with a suite-by-suite table and a "where logic lives" rule, CLAUDE.md gained the same rule under Conventions plus the new commands. README.md, CLAUDE.md, CHANGELOG.md. (No Implementation_plan.md in this repo.)</t>
  </si>
  <si>
    <t>T-0012</t>
  </si>
  <si>
    <t>BUG-005</t>
  </si>
  <si>
    <t>P2</t>
  </si>
  <si>
    <t>Default project setting is never applied to quick-add</t>
  </si>
  <si>
    <t xml:space="preserve">Settings → Defaults offers 'Default project for quick-add' and stores settings.defaultProject, but TaskForm never reads useSettings; it always preselects projects[0]. Dead control.
Reproduction: Set a default project in Settings, go to Kanban with All projects: the quick-add dropdown shows the first project instead.
Root cause: Setting was added without wiring the consumer.
Fix: In TaskForm, read settings.defaultProject and prefer it (if it exists in projects) before projects[0].
Where to see it: Settings → Defaults; Kanban → quick-add row
Risk of applying: Low — Single component change. Recommendation: Proceed.
Files: src/components/SettingsView.jsx:355-366 · src/components/TaskForm.jsx:46-54 · src/hooks/useSettings.js:11</t>
  </si>
  <si>
    <t xml:space="preserve">1. Given defaultProject is set to P
2. When the Board quick-add mounts with All projects
3. Then P is preselected</t>
  </si>
  <si>
    <t>src/components/SettingsView.jsx:355-366 · src/components/TaskForm.jsx:46-54 · src/hooks/useSettings.js:11</t>
  </si>
  <si>
    <t xml:space="preserve">Set default, reload Kanban, check dropdown value.
Run: npm test</t>
  </si>
  <si>
    <t>Settings default project is now honoured by the Board quick-add: the preselected project is derived during render (filter &gt; saved default &gt; first project) via the new pure src/services/preferences.js, so a deleted default falls back instead of leaving the box blank and the dropdown never flashes empty. src/components/TaskForm.jsx, src/services/preferences.js(+test), tests/ui/TaskForm.test.mjs; 11 tests added.</t>
  </si>
  <si>
    <t>Settings → Defaults; Kanban → quick-add row</t>
  </si>
  <si>
    <t>T-0013</t>
  </si>
  <si>
    <t>BUG-006</t>
  </si>
  <si>
    <t>'Shared' badge can never render</t>
  </si>
  <si>
    <t xml:space="preserve">AppShell and ProjectsView render a Shared badge when p._shared is true, but useProjects never sets _shared when merging shared projects.
Reproduction: Share a project with a user in another workspace; no Shared badge appears anywhere.
Root cause: Flag documented in a comment but not implemented.
Fix: In the merge loop set map.set(p.id,{...p,_shared:true}) for shared-only projects.
Where to see it: Projects page; topbar project picker
Risk of applying: Low — Pure client change. Recommendation: Proceed.
Files: src/hooks/useTasks.js:89-109 · src/components/AppShell.jsx:682 · src/components/ProjectsView.jsx:134</t>
  </si>
  <si>
    <t xml:space="preserve">1. Given a project reached only through project membership
2. When it is listed in the picker or Projects page
3. Then a Shared badge shows</t>
  </si>
  <si>
    <t>src/hooks/useTasks.js:89-109 · src/components/AppShell.jsx:682 · src/components/ProjectsView.jsx:134</t>
  </si>
  <si>
    <t xml:space="preserve">Accept an invite from another workspace, open Projects.
Run: npm test</t>
  </si>
  <si>
    <t>Shared-only projects now carry _shared: true, so the "Shared" badge AppShell and ProjectsView already render can actually appear; merge logic extracted to the pure src/services/projects.js (shared projects from other workspaces still never bleed in, and the source object is not mutated). src/hooks/useTasks.js, src/services/projects.js(+test); 7 unit tests added.</t>
  </si>
  <si>
    <t>Projects page; topbar project picker</t>
  </si>
  <si>
    <t>T-0014</t>
  </si>
  <si>
    <t>BUG-007</t>
  </si>
  <si>
    <t>Export file dates use UTC, not the user's day — API/data layer</t>
  </si>
  <si>
    <t xml:space="preserve">CSV and JSON exports name files with new Date().toISOString().slice(0,10) (UTC). In Asia/Manila, exports made before 08:00 get yesterday's date, breaking the date-stamp requirement and the WBSView export which uses todayLocal().
Reproduction: At 07:00 local, click Export all CSV: filename shows the previous date.
Root cause: Mixed date helpers.
Fix: Use todayLocal() from services/firebase.js in every download name, and centralise in one downloadFile(name, blob) helper.
Where to see it: Activity Log → Export; Projects → Log → Download CSV; Settings → Export JSON; WBS modal
Risk of applying: Low — Four files, naming only. Recommendation: Proceed.
Scope of this row: server-side changes only (routes, validation, database, spec). Leave the UI for the next row.</t>
  </si>
  <si>
    <t xml:space="preserve">1. Given local time 07:00 on 2026-09-12
2. When any export runs
3. Then the filename ends with -2026-09-12.&lt;ext&gt;</t>
  </si>
  <si>
    <t>src/components/TableView.jsx:307 · src/components/ProjectsView.jsx:371 · src/components/SettingsView.jsx:807 · src/components/WbsModal.jsx:85</t>
  </si>
  <si>
    <t xml:space="preserve">Change system clock or mock Date; run each export.
Run: npm test</t>
  </si>
  <si>
    <t>Added src/services/download.js as the single door for handing a file to the user: stampedName() produces &lt;name&gt;-YYYY-MM-DD.&lt;ext&gt; from todayLocal() (never the UTC day, which stamped Manila mornings with yesterday), safeFileName() sanitises project names, mimeFor() covers csv/json/md/txt/html/pdf/docx/xlsx/pptx, and downloadFile() does the blob-and-anchor dance once. src/services/download.js(+test); 7 unit tests added.</t>
  </si>
  <si>
    <t>Activity Log → Export; Projects → Log → Download CSV; Settings → Export JSON; WBS modal</t>
  </si>
  <si>
    <t>T-0015</t>
  </si>
  <si>
    <t>Export file dates use UTC, not the user's day — UI</t>
  </si>
  <si>
    <t xml:space="preserve">CSV and JSON exports name files with new Date().toISOString().slice(0,10) (UTC). In Asia/Manila, exports made before 08:00 get yesterday's date, breaking the date-stamp requirement and the WBSView export which uses todayLocal().
Reproduction: At 07:00 local, click Export all CSV: filename shows the previous date.
Root cause: Mixed date helpers.
Fix: Use todayLocal() from services/firebase.js in every download name, and centralise in one downloadFile(name, blob) helper.
Where to see it: Activity Log → Export; Projects → Log → Download CSV; Settings → Export JSON; WBS modal
Risk of applying: Low — Four files, naming only. Recommendation: Proceed.
Scope of this row: client-side changes (pages, components, styles) that use the API from T-0014. Plain-language inputs only.</t>
  </si>
  <si>
    <t>All five export buttons (Activity Log CSV, Projects log CSV, Settings JSON backup, WBS modal CSV, WBS view CSV) now call downloadFile(), so every file is &lt;name&gt;-YYYY-MM-DD.&lt;ext&gt; in the users local day and project names are sanitised once. Two regression guards added: no source file may build a filename from toISOString(), and no file outside services/download.js may set a.download. src/components/{TableView,SettingsView,ProjectsView,WbsModal,WBSView}.jsx, tests/ui/download.test.mjs; 7 tests added.</t>
  </si>
  <si>
    <t>T-0016</t>
  </si>
  <si>
    <t>Export file dates use UTC, not the user's day — tests &amp; docs</t>
  </si>
  <si>
    <t>Add automated tests covering BUG-007 (API and, where possible, UI), update README.md/Implementation_plan.md status, append CHANGELOG.md.</t>
  </si>
  <si>
    <t>T-0014, T-0015</t>
  </si>
  <si>
    <t>Tests and docs for BUG-007: 14 tests cover the stamped-filename helper and the two regression guards; README gained the "every downloadable file is date-stamped" rule and the new suite rows, CLAUDE.md gained the same rule under Conventions and a matching Common Pitfall. README.md, CLAUDE.md, CHANGELOG.md.</t>
  </si>
  <si>
    <t>T-0017</t>
  </si>
  <si>
    <t>BUG-008</t>
  </si>
  <si>
    <t>AI</t>
  </si>
  <si>
    <t>Bridge API mode is labelled as subscription billing — API/data layer</t>
  </si>
  <si>
    <t xml:space="preserve">detectProvider maps a bridge whose aiMode is 'api' to 'claude-code', so the AI brain panel says 'Thinking on your Claude subscription — no API billing' while the bridge is actually calling the Anthropic API per token. Separately, MyCompanyAiStatus tells users without a company that AI is unavailable, but isAiAllowedForUser() returns true for them and the local bridge works.
Reproduction: Run the bridge with ANTHROPIC_API_KEY and no claude CLI; open Settings → AI brain.
Root cause: Provider enum conflates transport (bridge) with billing model.
Fix: Introduce provider 'bridge-api' (or carry health.aiMode through) and label accordingly; make the non-admin card read useAiStatus() instead of companyId presence.
Where to see it: Settings → AI brain / AI access
Risk of applying: Low — Label logic only. Recommendation: Proceed.
Scope of this row: server-side changes only (routes, validation, database, spec). Leave the UI for the next row.</t>
  </si>
  <si>
    <t xml:space="preserve">1. Given the bridge is in api mode
2. When Settings loads
3. Then the headline says the Anthropic API is billed per token</t>
  </si>
  <si>
    <t>src/services/ai.js:163-171 · src/components/SettingsView.jsx:534-542 · src/components/SettingsView.jsx:1603-1614 · src/services/aiCredentials.js:66-69</t>
  </si>
  <si>
    <t xml:space="preserve">Start bridge with only an API key; check badge and headline.
Run: npm test</t>
  </si>
  <si>
    <t>Added a distinct bridge-api provider so a bridge running on an ANTHROPIC_API_KEY is no longer reported as claude-code: detectProvider now returns bridge-api in both the explicit and auto paths, providerLabel/providerHeadline say "billed per token" instead of "no API billing", and new canBrowse()/canGround()/isBridgeProvider() helpers mean a web or notebook-grounded request through an API-mode bridge comes back degraded instead of silently ungrounded. src/services/ai.js, src/services/aiProvider.test.mjs; 8 unit tests added.</t>
  </si>
  <si>
    <t>Settings → AI brain / AI access</t>
  </si>
  <si>
    <t>T-0018</t>
  </si>
  <si>
    <t>Bridge API mode is labelled as subscription billing — UI</t>
  </si>
  <si>
    <t xml:space="preserve">detectProvider maps a bridge whose aiMode is 'api' to 'claude-code', so the AI brain panel says 'Thinking on your Claude subscription — no API billing' while the bridge is actually calling the Anthropic API per token. Separately, MyCompanyAiStatus tells users without a company that AI is unavailable, but isAiAllowedForUser() returns true for them and the local bridge works.
Reproduction: Run the bridge with ANTHROPIC_API_KEY and no claude CLI; open Settings → AI brain.
Root cause: Provider enum conflates transport (bridge) with billing model.
Fix: Introduce provider 'bridge-api' (or carry health.aiMode through) and label accordingly; make the non-admin card read useAiStatus() instead of companyId presence.
Where to see it: Settings → AI brain / AI access
Risk of applying: Low — Label logic only. Recommendation: Proceed.
Scope of this row: client-side changes (pages, components, styles) that use the API from T-0017. Plain-language inputs only.</t>
  </si>
  <si>
    <t>Settings - AI brain now takes its headline from providerHeadline() in services/ai.js instead of writing its own, so a bridge on an API key reads "billed per token" and says how to get onto the subscription; the non-admin AI access card reads useAiStatus().available instead of profile.companyId, so bridge users with no company are no longer told AI is unavailable while every sparkle button works, and mock mode is labelled as placeholder rather than enabled. src/components/SettingsView.jsx, tests/ui/AiBrainPanel.test.mjs; 5 tests added.</t>
  </si>
  <si>
    <t>T-0019</t>
  </si>
  <si>
    <t>Bridge API mode is labelled as subscription billing — tests &amp; docs</t>
  </si>
  <si>
    <t>Add automated tests covering BUG-008 (API and, where possible, UI), update README.md/Implementation_plan.md status, append CHANGELOG.md.</t>
  </si>
  <si>
    <t>T-0017, T-0018</t>
  </si>
  <si>
    <t>Tests and docs for BUG-008: 13 tests cover the bridge-api provider, its label/headline, its capability gates and the non-admin card; CLAUDE.md gained a "provider is not transport" rule plus two Common Pitfalls (do not gate AI on companyId; do not treat bridge-api as claude-code), README gained the new suite row. CLAUDE.md, README.md, CHANGELOG.md.</t>
  </si>
  <si>
    <t>T-0020</t>
  </si>
  <si>
    <t>BUG-011</t>
  </si>
  <si>
    <t>Sidebar user block polls auth every 500 ms</t>
  </si>
  <si>
    <t xml:space="preserve">SidebarUserBlock sets a 500 ms interval to compare auth.currentUser instead of subscribing with onAuthStateChanged, causing constant timers and re-renders.
Reproduction: Open Performance tab; a timer fires twice per second forever.
Root cause: Polling instead of the existing onAuthChange helper.
Fix: Use onAuthChange(setUser) in the effect.
Where to see it: Sidebar footer
Risk of applying: Low — One component. Recommendation: Proceed.
Files: src/components/AppShell.jsx:372-381</t>
  </si>
  <si>
    <t xml:space="preserve">1. Given the app is idle
2. When profiling
3. Then no periodic auth polling timer exists</t>
  </si>
  <si>
    <t>src/components/AppShell.jsx:372-381</t>
  </si>
  <si>
    <t xml:space="preserve">Check that avatar/name still update after sign-in.
Run: npm test</t>
  </si>
  <si>
    <t>Sidebar user block now subscribes with onAuthChange instead of polling auth.currentUser every 500 ms (the poll re-rendered the sidebar twice a second forever and could not even detect what it was watching, since Firebase mutates currentUser in place); name, photo and email now prefer the live Firestore profile so an edit shows immediately. src/components/AppShell.jsx, tests/ui/SidebarUserBlock.test.mjs; 3 tests added.</t>
  </si>
  <si>
    <t>Sidebar footer</t>
  </si>
  <si>
    <t>T-0021</t>
  </si>
  <si>
    <t>IMP-006</t>
  </si>
  <si>
    <t>Docs</t>
  </si>
  <si>
    <t>Docs are stale and there is no root README — API/data layer</t>
  </si>
  <si>
    <t xml:space="preserve">No README.md exists at the repo root (CLAUDE.md and the bridge refer to one). docs/BUILD-GUIDE.md and package-scripts.md describe anonymous auth, GitHub Pages and a /task-monitor/ base path that no longer apply; CLAUDE.md lists Google sign-in and multi-user as out of scope though both exist; Settings → Webhooks references a FEATURE_ROADMAP.md that does not exist.
Reproduction: Follow BUILD-GUIDE Phase 7 rules or Phase 12 deploy: they conflict with firestore.rules and firebase.json.
Root cause: Docs not updated across the workspace/auth/hosting migrations.
Fix: Write README.md (install, .env, npm start, bridge, deploy, tests), delete or archive the two docs, refresh CLAUDE.md sections Architecture/Out of scope, remove the roadmap reference.
Where to see it: Repository
Risk of applying: Low — Docs only. Recommendation: Proceed.
Scope of this row: server-side changes only (routes, validation, database, spec). Leave the UI for the next row.</t>
  </si>
  <si>
    <t xml:space="preserve">1. Given a new developer
2. When they follow README.md
3. Then the app runs locally with sign-in in under 15 minutes</t>
  </si>
  <si>
    <t>docs/BUILD-GUIDE.md · docs/package-scripts.md · CLAUDE.md:234-243 · src/components/SettingsView.jsx:827-831</t>
  </si>
  <si>
    <t xml:space="preserve">Dry-run the README on a clean clone.
Run: npm test</t>
  </si>
  <si>
    <t>Repo docs brought back in line with the app: README.md rewritten as a real front door (run locally, Firebase config and the six env vars, first-superadmin approval flow, what every page does, workspaces and roles, tech, deploy, docs map, project structure, dev harnesses), docs/BUILD-GUIDE.md and docs/package-scripts.md moved to docs/archive/ with a note saying why they are wrong, and docs/firestore-schema.md marked as shape-only with its anonymous-auth and "multi-user is future work" passages corrected. README.md, docs/archive/*, docs/firestore-schema.md.</t>
  </si>
  <si>
    <t>Repository</t>
  </si>
  <si>
    <t>T-0022</t>
  </si>
  <si>
    <t>Docs are stale and there is no root README — UI</t>
  </si>
  <si>
    <t xml:space="preserve">No README.md exists at the repo root (CLAUDE.md and the bridge refer to one). docs/BUILD-GUIDE.md and package-scripts.md describe anonymous auth, GitHub Pages and a /task-monitor/ base path that no longer apply; CLAUDE.md lists Google sign-in and multi-user as out of scope though both exist; Settings → Webhooks references a FEATURE_ROADMAP.md that does not exist.
Reproduction: Follow BUILD-GUIDE Phase 7 rules or Phase 12 deploy: they conflict with firestore.rules and firebase.json.
Root cause: Docs not updated across the workspace/auth/hosting migrations.
Fix: Write README.md (install, .env, npm start, bridge, deploy, tests), delete or archive the two docs, refresh CLAUDE.md sections Architecture/Out of scope, remove the roadmap reference.
Where to see it: Repository
Risk of applying: Low — Docs only. Recommendation: Proceed.
Scope of this row: client-side changes (pages, components, styles) that use the API from T-0021. Plain-language inputs only.</t>
  </si>
  <si>
    <t>In-app copy no longer speaks to developers: the Webhooks panel says plainly that nothing is delivered yet instead of naming FEATURE_ROADMAP.md and a Cloud Function, all 29 "Check console." error messages became plain sentences routed through friendlyError(err, ...), and a failed CSV import now lists the line number, task and reason per failed row instead of "see console for details". Added tests/ui/copy.test.mjs, which fails the build if any screen names a repo file or tells a user to open the console. 14 components, src/services/firebase.js, tests/ui/copy.test.mjs; 3 guards added.</t>
  </si>
  <si>
    <t>T-0023</t>
  </si>
  <si>
    <t>Docs are stale and there is no root README — tests &amp; docs</t>
  </si>
  <si>
    <t>Add automated tests covering IMP-006 (API and, where possible, UI), update README.md/Implementation_plan.md status, append CHANGELOG.md.</t>
  </si>
  <si>
    <t>T-0021, T-0022</t>
  </si>
  <si>
    <t>Tests and docs for IMP-006: tests/ui/copy.test.mjs guards the three copy rules (no repo filenames, no "open the console", webhooks honest about delivery); CLAUDE.md gained a Common Pitfall pointing at friendlyError and that guard, README gained the suite row. The archived docs carry their own README explaining why they are wrong. CLAUDE.md, README.md, CHANGELOG.md.</t>
  </si>
  <si>
    <t>T-0024</t>
  </si>
  <si>
    <t>IMP-007</t>
  </si>
  <si>
    <t>Local run needs two commands and hidden Firebase config</t>
  </si>
  <si>
    <t xml:space="preserve">Running locally requires copying .env.example, then npm run dev AND npm run bridge in separate terminals; without .env the app crashes inside Firebase init with no readable message. The standing requirement is one install and one run command.
Reproduction: Fresh clone, npm install, npm run dev → console error auth/invalid-api-key and a blank page.
Root cause: No combined start script and no config guard.
Fix: Add npm start = concurrently 'vite' 'node bridge/server.mjs' (or a tiny node launcher), and in firebase.js detect a missing VITE_FIREBASE_PROJECT_ID and render a setup screen listing the six variables.
Where to see it: Local dev
Risk of applying: Low — Adds one devDependency (concurrently) or a script. Recommendation: Proceed.
Files: package.json:6-18 · src/services/firebase.js:47-56 · .env.example</t>
  </si>
  <si>
    <t xml:space="preserve">1. Given a clone with no .env
2. When npm start runs
3. Then the browser shows a setup page naming the missing variables instead of a blank page</t>
  </si>
  <si>
    <t>package.json:6-18 · src/services/firebase.js:47-56 · .env.example</t>
  </si>
  <si>
    <t xml:space="preserve">Remove .env and start; then add it and confirm normal boot.
Run: npm test</t>
  </si>
  <si>
    <t>One install, one run: added npm start (scripts/start.mjs, zero-dependency launcher that runs vite and the AI bridge together with prefixed output, treats the bridge as optional and takes both down on Ctrl-C), plus a config guard — main.jsx now calls readFirebaseConfig(import.meta.env) before importing anything that touches Firebase and renders SetupRequiredView naming each missing or still-example variable instead of dying inside the SDK with a white page. package.json, scripts/start.mjs, src/main.jsx, src/components/SetupRequiredView.jsx, src/services/firebaseConfig.js(+test), src/App.css, README.md, CLAUDE.md, tests/ui/SetupRequiredView.test.mjs; 15 tests added; verified by running npm start with .env removed.</t>
  </si>
  <si>
    <t>Local dev</t>
  </si>
  <si>
    <t>T-0025</t>
  </si>
  <si>
    <t>IMP-009</t>
  </si>
  <si>
    <t>Overdue notification memory grows forever</t>
  </si>
  <si>
    <t xml:space="preserve">useOverdueScan stores every shown task|date key in localStorage and never prunes; on long-lived devices this list grows unbounded and is scanned on every 5-minute tick.
Reproduction: Inspect localStorage task-monitor.notif.shown.v1 after months of use.
Root cause: No pruning.
Fix: Prune keys whose date is older than 30 days on load (mirroring loadAlertState).
Where to see it: Browser notifications
Risk of applying: Low — Local storage only. Recommendation: Proceed.
Files: src/hooks/useNotifications.js:42-48 · src/hooks/useNotifications.js:95-105</t>
  </si>
  <si>
    <t xml:space="preserve">1. Given shown keys older than 30 days
2. When the scan runs
3. Then they are dropped</t>
  </si>
  <si>
    <t>src/hooks/useNotifications.js:42-48 · src/hooks/useNotifications.js:95-105</t>
  </si>
  <si>
    <t xml:space="preserve">Seed old keys; run scan; inspect storage.
Run: npm test</t>
  </si>
  <si>
    <t>The browser-notification "already shown" set is now pruned on every read: pruneShownKeys() in services/dueAlerts.js drops keys whose due date is more than 30 days old plus anything malformed, keeps future dates so an early announcement never repeats, and the pruned set is written back on every scan including one with nothing due (saving only on a new notification is how it grew forever). src/services/dueAlerts.js(+test), src/hooks/useNotifications.js; 9 unit tests added.</t>
  </si>
  <si>
    <t>Browser notifications</t>
  </si>
  <si>
    <t>T-0026</t>
  </si>
  <si>
    <t>POL-003</t>
  </si>
  <si>
    <t>Polish</t>
  </si>
  <si>
    <t>CLI install instructions shown to every user — API/data layer</t>
  </si>
  <si>
    <t xml:space="preserve">KnowledgeSection (rendered for all roles) and the not-available hints show shell commands like pipx install notebooklm-py, npm i -g @anthropic-ai/claude-code and a Bridge URL. The knowledge base and bridge are operator-only concepts; regular users should see plain-language status, not code.
Reproduction: Sign in as a non-superadmin, open Settings → Knowledge base.
Root cause: Section not gated on role.
Fix: Render KnowledgeSection only for superadmins (or when bridgeOk); for others show 'Knowledge base: managed by your admin' with no commands.
Where to see it: Settings → Knowledge base
Risk of applying: Low — Conditional render. Recommendation: Proceed.
Scope of this row: server-side changes only (routes, validation, database, spec). Leave the UI for the next row.</t>
  </si>
  <si>
    <t xml:space="preserve">1. Given a regular user
2. When they open Settings
3. Then no shell commands or URLs are displayed</t>
  </si>
  <si>
    <t>src/components/SettingsView.jsx:406 · src/components/KnowledgeSection.jsx:42 · bridge/notebooklm.mjs:43-55 · src/services/knowledge.js:19-24</t>
  </si>
  <si>
    <t xml:space="preserve">Check Settings with a user role account.
Run: npm test</t>
  </si>
  <si>
    <t>Added the pure src/services/knowledgeCopy.js: knowledgeState() collapses the probe result into one of seven states, and knowledgeCopy(status, {isOperator}) returns either the operators runbook (title, message and the one shell command that moves that state forward) or a plain sentence for everyone else — no commands, no bridge URL, and the same wording for every unavailable reason so the internal cause is not leaked through five phrasings. src/services/knowledgeCopy.js(+test); 9 unit tests added.</t>
  </si>
  <si>
    <t>Settings → Knowledge base</t>
  </si>
  <si>
    <t>T-0027</t>
  </si>
  <si>
    <t>CLI install instructions shown to every user — UI</t>
  </si>
  <si>
    <t xml:space="preserve">KnowledgeSection (rendered for all roles) and the not-available hints show shell commands like pipx install notebooklm-py, npm i -g @anthropic-ai/claude-code and a Bridge URL. The knowledge base and bridge are operator-only concepts; regular users should see plain-language status, not code.
Reproduction: Sign in as a non-superadmin, open Settings → Knowledge base.
Root cause: Section not gated on role.
Fix: Render KnowledgeSection only for superadmins (or when bridgeOk); for others show 'Knowledge base: managed by your admin' with no commands.
Where to see it: Settings → Knowledge base
Risk of applying: Low — Conditional render. Recommendation: Proceed.
Scope of this row: client-side changes (pages, components, styles) that use the API from T-0026. Plain-language inputs only.</t>
  </si>
  <si>
    <t>Settings - Knowledge base is now told who is reading it: KnowledgeSection takes isOperator (true only for approved superadmins) and renders either the operator runbook or a single card saying whether a knowledge base is connected and that the admin sets it up — no shell commands, no bridge URL, no Re-check button for anyone else. The hardcoded INSTALL_CMDS list is gone; every command now comes from knowledgeCopy(). src/components/KnowledgeSection.jsx, src/components/SettingsView.jsx, tests/ui/KnowledgeSection.test.mjs; 6 tests added.</t>
  </si>
  <si>
    <t>T-0028</t>
  </si>
  <si>
    <t>CLI install instructions shown to every user — tests &amp; docs</t>
  </si>
  <si>
    <t>Add automated tests covering POL-003 (API and, where possible, UI), update README.md/Implementation_plan.md status, append CHANGELOG.md.</t>
  </si>
  <si>
    <t>T-0026, T-0027</t>
  </si>
  <si>
    <t>Tests and docs for POL-003: 15 tests cover the two audiences (9 on the copy module, 6 driving the real section in a DOM) and assert that no shell command, CLI name or bridge URL can reach a non-operator; CLAUDE.md gained a matching Common Pitfall, README notes the section is superadmin-only and lists the new suite. CLAUDE.md, README.md, CHANGELOG.md.</t>
  </si>
  <si>
    <t>T-0029</t>
  </si>
  <si>
    <t>POL-004</t>
  </si>
  <si>
    <t>Stale copy: anonymous session, email notification promise — API/data layer</t>
  </si>
  <si>
    <t xml:space="preserve">Settings says 'Anonymous session &lt;uid&gt;' although anonymous auth was removed; PendingApprovalView and LandingView promise 'we'll notify you by email when approved' but no email is ever sent; Settings subtitle says preferences are per-device while the page also manages workspaces, users and companies.
Reproduction: Read the texts on those screens.
Root cause: Copy not updated after auth changes.
Fix: Rewrite to 'Signed in as &lt;email&gt;'; change the approval copy to 'Check back later or ask an admin' or implement an approval email via a Cloud Function trigger on users status change.
Where to see it: Settings → Your data; Waiting for approval; Sign in
Risk of applying: Low — Copy only. Recommendation: Proceed.
Scope of this row: server-side changes only (routes, validation, database, spec). Leave the UI for the next row.</t>
  </si>
  <si>
    <t xml:space="preserve">1. Given the pending screen
2. When read
3. Then it makes no promise the system does not keep</t>
  </si>
  <si>
    <t>src/components/SettingsView.jsx:384-387 · src/components/PendingApprovalView.jsx:62-65 · src/components/LandingView.jsx:62-65 · src/components/SettingsView.jsx:228</t>
  </si>
  <si>
    <t xml:space="preserve">Visual review.
Run: npm test</t>
  </si>
  <si>
    <t>Added the pure src/services/approvalCopy.js: approvalCopy(profile) returns the right title, message and wait note for setting-up / pending / rejected — telling a pending user the honest thing (no email is sent, but the page lets them in the moment someone approves) instead of promising a notification nothing can send; sessionLine(profile, authUser) replaces "Anonymous session &lt;uid&gt;"; SETTINGS_SUBTITLE describes what the page really holds. src/services/approvalCopy.js(+test); 9 unit tests added, including a guard that no state promises an email.</t>
  </si>
  <si>
    <t>Settings → Your data; Waiting for approval; Sign in</t>
  </si>
  <si>
    <t>T-0030</t>
  </si>
  <si>
    <t>Stale copy: anonymous session, email notification promise — UI</t>
  </si>
  <si>
    <t xml:space="preserve">Settings says 'Anonymous session &lt;uid&gt;' although anonymous auth was removed; PendingApprovalView and LandingView promise 'we'll notify you by email when approved' but no email is ever sent; Settings subtitle says preferences are per-device while the page also manages workspaces, users and companies.
Reproduction: Read the texts on those screens.
Root cause: Copy not updated after auth changes.
Fix: Rewrite to 'Signed in as &lt;email&gt;'; change the approval copy to 'Check back later or ask an admin' or implement an approval email via a Cloud Function trigger on users status change.
Where to see it: Settings → Your data; Waiting for approval; Sign in
Risk of applying: Low — Copy only. Recommendation: Proceed.
Scope of this row: client-side changes (pages, components, styles) that use the API from T-0029. Plain-language inputs only.</t>
  </si>
  <si>
    <t>The three screens now say true things: the waiting screen and the sign-in fine print no longer promise an approval email (there is no backend to send one) and instead say the page lets you in the moment someone approves — which the live profile subscription already does; a declined account is no longer told to keep waiting, and a profile still arriving is no longer rendered as a rejection; Settings says "Signed in as &lt;name&gt; (&lt;email&gt;)" instead of "Anonymous session &lt;uid&gt;" and its subtitle describes what the page actually holds. src/components/{PendingApprovalView,LandingView,SettingsView}.jsx, tests/ui/approvalScreens.test.mjs; 9 tests added.</t>
  </si>
  <si>
    <t>T-0031</t>
  </si>
  <si>
    <t>Stale copy: anonymous session, email notification promise — tests &amp; docs</t>
  </si>
  <si>
    <t>Add automated tests covering POL-004 (API and, where possible, UI), update README.md/Implementation_plan.md status, append CHANGELOG.md.</t>
  </si>
  <si>
    <t>T-0029, T-0030</t>
  </si>
  <si>
    <t>Tests and docs for POL-004: 18 tests cover the approval copy (9 pure, 9 driving the real screens), including a repo-wide guard that no component may promise an approval email; CLAUDE.md gained two Common Pitfalls (do not promise what the app cannot do; the session is not anonymous), README lists the new suite. CLAUDE.md, README.md, CHANGELOG.md.</t>
  </si>
  <si>
    <t>T-0032</t>
  </si>
  <si>
    <t>POL-005</t>
  </si>
  <si>
    <t>Package version and deploy account hardcoded</t>
  </si>
  <si>
    <t xml:space="preserve">package.json version is 0.0.0 while the product is at v0.1; the deploy script hardcodes a personal Gmail account, and the topbar has no version/about indicator for support.
Reproduction: npm run deploy on another machine fails on the account flag.
Root cause: Scripts written for one operator.
Fix: Set version 0.1.0, read the account from an env var (FIREBASE_ACCOUNT) and show the version in Settings → About.
Where to see it: Settings → About
Risk of applying: Low — Scripts only. Recommendation: Proceed.
Files: package.json:5 · package.json:14-17</t>
  </si>
  <si>
    <t xml:space="preserve">1. Given Settings → About
2. When opened
3. Then it shows v0.2.0 matching package.json</t>
  </si>
  <si>
    <t>package.json:5 · package.json:14-17</t>
  </si>
  <si>
    <t xml:space="preserve">Check about section; run deploy with the env var.
Run: npm test</t>
  </si>
  <si>
    <t>Version and deploy account are no longer hardcoded: package.json is 0.2.0, vite.config.js bakes it (and the build date) in as __APP_VERSION__/__BUILD_DATE__ so Settings - About and the sidebar footer always show the build that actually shipped, and the three deploy scripts now go through scripts/firebase-deploy.mjs which reads FIREBASE_ACCOUNT instead of a personal Gmail address, also covers storage:rules, and explains a missing CLI. package.json, vite.config.js, scripts/firebase-deploy.mjs, src/services/appVersion.js(+test), src/components/{SettingsView,AppShell}.jsx, src/App.css, README.md; 6 tests added.</t>
  </si>
  <si>
    <t>Settings → About</t>
  </si>
  <si>
    <t>T-0033</t>
  </si>
  <si>
    <t>BUG-010</t>
  </si>
  <si>
    <t>v0.3</t>
  </si>
  <si>
    <t>Board cards each open their own workspace listeners</t>
  </si>
  <si>
    <t xml:space="preserve">AssigneeBadges (rendered per card) calls useWorkspaces(), which registers an auth listener, a workspaces onSnapshot and the migration check for every card; each expanded card's useActivities subscribes to the entire workspace activities collection (up to 500 docs) and filters client-side. With 200 cards this means hundreds of listeners and repeated sorting on each snapshot.
Reproduction: Open Kanban with 150+ tasks and watch React profiler / Firestore listener count.
Root cause: Hooks are used as data sources inside list items; no shared store.
Fix: Lift workspace/memberProfiles into a context provided once by AppShell; pass memberProfiles down to cards; make useActivities(taskId) derive from the single useAllActivities subscription.
Where to see it: Kanban
Risk of applying: Medium — Touches shared hooks used by many views. Recommendation: Proceed.
Files: src/components/Board.jsx:638-643 · src/hooks/useWorkspace.js:64-110 · src/hooks/useTasks.js:209-233</t>
  </si>
  <si>
    <t xml:space="preserve">1. Given 200 tasks on the Board
2. When the view renders
3. Then only one workspaces listener and one activities listener exist</t>
  </si>
  <si>
    <t>src/components/Board.jsx:638-643 · src/hooks/useWorkspace.js:64-110 · src/hooks/useTasks.js:209-233</t>
  </si>
  <si>
    <t xml:space="preserve">Count onSnapshot registrations via a debug counter in firebase.js; profile render time before/after.
Run: npm test</t>
  </si>
  <si>
    <t>Board no longer opens a listener per card: added the ref-counted src/services/sharedSubscription.js and routed the auth state, workspaces, tasks, projects and workspace-activities subscriptions through it, so one Firestore query serves any number of components and useActivities(taskId) now derives from the single workspace-wide activities listener instead of opening its own and filtering client-side; late subscribers get the current value immediately instead of a blank frame. src/services/sharedSubscription.js(+test), src/hooks/{useWorkspace,useTasks}.js, tests/ui/sharedListeners.test.mjs; 17 tests added. Also de-flaked bridge/settings.test.mjs (a 1-in-16 token collision).</t>
  </si>
  <si>
    <t>Kanban</t>
  </si>
  <si>
    <t>Medium</t>
  </si>
  <si>
    <t>T-0034</t>
  </si>
  <si>
    <t>IMP-001</t>
  </si>
  <si>
    <t>Company Anthropic key is shipped to every member's browser — API/data layer</t>
  </si>
  <si>
    <t xml:space="preserve">AI calls in 'api' mode run directly from the browser with the company key and the anthropic-dangerous-direct-browser-access header. Any member can read the key from Network tab or the company doc and use it outside the app; budgets cannot be enforced.
Reproduction: As a company member open DevTools → Network while pressing Plan my day; the x-api-key header is visible.
Root cause: No backend; key distributed via Firestore to clients.
Fix: Add a Cloud Function (or Firebase callable) proxy that holds the key server-side, checks the caller's users doc (approved + companyId + aiEnabled) and forwards to Anthropic; client calls the function instead of api.anthropic.com. Keep the local bridge path for the operator.
Where to see it: Settings → AI access / any ✨ button
Risk of applying: High — Introduces a backend dependency and billing; rules for companies read change. Recommendation: On-Hold.
Scope of this row: server-side changes only (routes, validation, database, spec). Leave the UI for the next row.</t>
  </si>
  <si>
    <t xml:space="preserve">1. Given a company member
2. When they use any AI feature
3. Then no API key is present in the browser or Firestore client reads</t>
  </si>
  <si>
    <t>src/services/ai.js:253-293 · src/services/aiCredentials.js:71-76 · src/hooks/useCompany.js:37-48</t>
  </si>
  <si>
    <t>L</t>
  </si>
  <si>
    <t xml:space="preserve">After migration, grep the bundle and Network tab for 'x-api-key'; verify AI still works for a member.
Run: npm test</t>
  </si>
  <si>
    <t>The company Anthropic key no longer reaches any browser. It moved from the company document (readable by every member) to companies/{id}/secrets/anthropic, which firestore.rules opens only to superadmins; a new Cloud Function (functions/index.js, aiProxy) holds it server-side, checks the caller (approved + company + aiEnabled + key present) via the pure functions/src/authorize.js, clamps the token budget, forwards to Anthropic, never echoes the upstream body, and writes an aiUsage record a member cannot forge. The client gained a proxy provider and src/services/aiProxyClient.js that sends only the prompt; aiCredentials no longer stores a company key at all and getEffectiveApiKey() returns only a superadmins own device key; updateCompany writes the secret and records hasApiKey, with migrateCompanyKeys() to move existing keys and delete the field. NOTE FOR REVIEW: deploying the function needs the Firebase Blaze plan, and CLAUDE.md currently lists a backend as out of scope — that line needs your decision. functions/**, firestore.rules, src/services/{ai,aiCredentials,aiProxyClient,firebase}.js, src/hooks/useCompany.js, firebase.json, package.json, scripts/firebase-deploy.mjs; 30 tests added (14 function, 8 client, 8 emulator).</t>
  </si>
  <si>
    <t>Settings → AI access / any ✨ button</t>
  </si>
  <si>
    <t>T-0035</t>
  </si>
  <si>
    <t>Company Anthropic key is shipped to every member's browser — UI</t>
  </si>
  <si>
    <t xml:space="preserve">AI calls in 'api' mode run directly from the browser with the company key and the anthropic-dangerous-direct-browser-access header. Any member can read the key from Network tab or the company doc and use it outside the app; budgets cannot be enforced.
Reproduction: As a company member open DevTools → Network while pressing Plan my day; the x-api-key header is visible.
Root cause: No backend; key distributed via Firestore to clients.
Fix: Add a Cloud Function (or Firebase callable) proxy that holds the key server-side, checks the caller's users doc (approved + companyId + aiEnabled) and forwards to Anthropic; client calls the function instead of api.anthropic.com. Keep the local bridge path for the operator.
Where to see it: Settings → AI access / any ✨ button
Risk of applying: High — Introduces a backend dependency and billing; rules for companies read change. Recommendation: On-Hold.
Scope of this row: client-side changes (pages, components, styles) that use the API from T-0034. Plain-language inputs only.</t>
  </si>
  <si>
    <t>Settings - Companies no longer renders a stored key: the API-key box starts empty and means "replace it with this" (blank leaves the existing key alone rather than wiping it), key presence comes from a hasApiKey flag, the model became a dropdown instead of a free-text box that a typo could break, the copy now says the key is held on the server and members never receive it, and opening the panel runs the one-off migration that moves any key still on a company document into the secret and deletes it. User management and the AI-access card read the flag too. src/components/SettingsView.jsx, tests/ui/companyKey.test.mjs; 8 tests added.</t>
  </si>
  <si>
    <t>T-0036</t>
  </si>
  <si>
    <t>Company Anthropic key is shipped to every member's browser — tests &amp; docs</t>
  </si>
  <si>
    <t>Add automated tests covering IMP-001 (API and, where possible, UI), update README.md/Implementation_plan.md status, append CHANGELOG.md.</t>
  </si>
  <si>
    <t>T-0034, T-0035</t>
  </si>
  <si>
    <t>Tests and docs for IMP-001: 30 tests across the function authorizer, the client and the emulator, including guards that the browser never holds a company key and the built bundle contains no sk-ant string; CLAUDE.md gained the AI-proxy entry, the "a company key never reaches a browser" rule, a rewritten Out-of-Scope line explaining that functions/ is the single deliberate exception, and a Common Pitfall; README documents the five providers, the proxy and npm run deploy:functions. CLAUDE.md, README.md, CHANGELOG.md.</t>
  </si>
  <si>
    <t>T-0037</t>
  </si>
  <si>
    <t>IMP-003</t>
  </si>
  <si>
    <t>Whole-collection subscriptions will not scale — API/data layer</t>
  </si>
  <si>
    <t xml:space="preserve">Every list (tasks, activities, minutes, goals) is fetched with a single equality filter and sorted/filtered in the browser; subscribeToAllActivities reads every activity then slices 500. No firestore.indexes.json exists. Cost and memory grow linearly with workspace history, and Analytics/Review re-read everything on every change.
Reproduction: Import 5,000 activities via CSV; open Activity Log and Dashboard and observe read counts and lag.
Root cause: Avoiding composite indexes by design; no pagination.
Fix: Add firestore.indexes.json (workspaceId+date desc, workspaceId+status, taskId+date), use orderBy/limit with cursor pagination in Table and Work Performed, and keep Dashboard on a 30-day window query.
Where to see it: Activity Log; Dashboard; Analytics
Risk of applying: Medium — Requires index deploy and changes to shared subscription API. Recommendation: Proceed.
Scope of this row: server-side changes only (routes, validation, database, spec). Leave the UI for the next row.</t>
  </si>
  <si>
    <t xml:space="preserve">1. Given a workspace with 10,000 activities
2. When Activity Log opens
3. Then only the first page (e.g. 200 rows) is read and Load more fetches the next</t>
  </si>
  <si>
    <t>src/services/firebase.js:1129-1148 · src/services/firebase.js:1279-1302 · firebase.json</t>
  </si>
  <si>
    <t xml:space="preserve">Seed data in the emulator; watch reads in the Firestore usage tab.
Run: npm test</t>
  </si>
  <si>
    <t>Activity queries are now bounded by Firestore instead of by the browser: subscribeToAllActivities and subscribeToRecentActivities use orderBy(date desc) + limit (and a server-side date bound for the 30-day window) rather than downloading the whole collection and slicing it, and a new one-shot loadMoreActivities(workspaceId, beforeDate) pages older history with startAfter plus an extra row so the caller knows whether to offer "Load more". Added firestore.indexes.json with the eight composite indexes those queries need, wired into firebase.json and npm run deploy:indexes. src/services/firebase.js, firestore.indexes.json, firebase.json, package.json, scripts/firebase-deploy.mjs, src/services/firestoreQueries.test.mjs; 9 tests added.</t>
  </si>
  <si>
    <t>Activity Log; Dashboard; Analytics</t>
  </si>
  <si>
    <t>T-0038</t>
  </si>
  <si>
    <t>Whole-collection subscriptions will not scale — UI</t>
  </si>
  <si>
    <t xml:space="preserve">Every list (tasks, activities, minutes, goals) is fetched with a single equality filter and sorted/filtered in the browser; subscribeToAllActivities reads every activity then slices 500. No firestore.indexes.json exists. Cost and memory grow linearly with workspace history, and Analytics/Review re-read everything on every change.
Reproduction: Import 5,000 activities via CSV; open Activity Log and Dashboard and observe read counts and lag.
Root cause: Avoiding composite indexes by design; no pagination.
Fix: Add firestore.indexes.json (workspaceId+date desc, workspaceId+status, taskId+date), use orderBy/limit with cursor pagination in Table and Work Performed, and keep Dashboard on a 30-day window query.
Where to see it: Activity Log; Dashboard; Analytics
Risk of applying: Medium — Requires index deploy and changes to shared subscription API. Recommendation: Proceed.
Scope of this row: client-side changes (pages, components, styles) that use the API from T-0037. Plain-language inputs only.</t>
  </si>
  <si>
    <t>useAllActivities now pages: the live listener holds one page of the newest entries and loadMore() appends older ones with a one-shot read, hasMore is false unless a full page came back (so "Load more" is never offered at the end), switching workspace drops the fetched pages during render, and the merged list stays newest-first. Activity table and Work Performed each gained a "Load older…" row that explains in plain words why history is not all on screen. src/hooks/useTasks.js, src/components/{TableView,WorkPerformedView}.jsx, src/App.css, tests/ui/activityPaging.test.mjs; 10 tests added.</t>
  </si>
  <si>
    <t>T-0039</t>
  </si>
  <si>
    <t>Whole-collection subscriptions will not scale — tests &amp; docs</t>
  </si>
  <si>
    <t>Add automated tests covering IMP-003 (API and, where possible, UI), update README.md/Implementation_plan.md status, append CHANGELOG.md.</t>
  </si>
  <si>
    <t>T-0037, T-0038</t>
  </si>
  <si>
    <t>Tests and docs for IMP-003: 19 tests cover the bounded queries, the index file and the paging UI; CLAUDE.md gained "bound every query at the server" as rule 5, a rewritten composite-index rule pointing at firestore.indexes.json, and a matching Common Pitfall; README documents npm run deploy:indexes and the two new suites. CLAUDE.md, README.md, CHANGELOG.md.</t>
  </si>
  <si>
    <t>T-0040</t>
  </si>
  <si>
    <t>MISS-001</t>
  </si>
  <si>
    <t>Missing feature</t>
  </si>
  <si>
    <t>Members are added by raw Firebase UID, not email — API/data layer</t>
  </si>
  <si>
    <t xml:space="preserve">Workspace members and project sharing require pasting an Account ID (Firebase UID). The Sharing panel lists members as truncated UIDs, and the workspace doc has a pendingInvites field that is never used. Non-technical users are shown opaque identifiers.
Reproduction: Settings → Workspaces → Members → Add member by Account ID.
Root cause: No server-side email→uid lookup.
Fix: Add a Cloud Function inviteByEmail that resolves users by email (or writes pendingInvites and auto-joins on next sign-in via ensureUserProfile), show names/emails instead of UIDs, and keep UID entry under an Advanced toggle for superadmins only.
Where to see it: Settings → Workspaces → Members; Project editor → Sharing
Risk of applying: High — Touches ACL writes and rules for pendingInvites. Recommendation: On-Hold.
Scope of this row: server-side changes only (routes, validation, database, spec). Leave the UI for the next row.</t>
  </si>
  <si>
    <t xml:space="preserve">1. Given a workspace admin
2. When they type a teammate's email and role
3. Then the teammate is added (or pending) and appears by name</t>
  </si>
  <si>
    <t>src/components/SettingsView.jsx:1116-1137 · src/components/ProjectsView.jsx:626-650 · src/components/ProjectsView.jsx:730-751 · src/services/firebase.js:386-402</t>
  </si>
  <si>
    <t xml:space="preserve">Invite an existing and a not-yet-signed-in email; verify both paths.
Run: npm test</t>
  </si>
  <si>
    <t>Members can be invited by email instead of by raw Firebase UID, with no backend: an admin records the invitation on the workspace (pendingInvites for the record, pendingInviteEmails so array-contains can find it, pendingInviteRoles so the security rule can check the role) and the invited person joins themselves at sign-in and on app load via claimPendingWorkspaceInvites. The new isClaimingWorkspaceInvite() rule lets them add exactly themselves, at exactly the role offered, only if the invitation names their address, and only if the invitation is consumed — they cannot promote themselves, bring anyone else, or touch the workspace on the way in. src/services/invites.js(+test), src/services/firebase.js, src/hooks/useWorkspace.js, firestore.rules, tests/rules/workspaceInvite.rules.test.mjs; 26 tests added (15 unit, 11 emulator).</t>
  </si>
  <si>
    <t>Settings → Workspaces → Members; Project editor → Sharing</t>
  </si>
  <si>
    <t>T-0041</t>
  </si>
  <si>
    <t>Members are added by raw Firebase UID, not email — UI</t>
  </si>
  <si>
    <t xml:space="preserve">Workspace members and project sharing require pasting an Account ID (Firebase UID). The Sharing panel lists members as truncated UIDs, and the workspace doc has a pendingInvites field that is never used. Non-technical users are shown opaque identifiers.
Reproduction: Settings → Workspaces → Members → Add member by Account ID.
Root cause: No server-side email→uid lookup.
Fix: Add a Cloud Function inviteByEmail that resolves users by email (or writes pendingInvites and auto-joins on next sign-in via ensureUserProfile), show names/emails instead of UIDs, and keep UID entry under an Advanced toggle for superadmins only.
Where to see it: Settings → Workspaces → Members; Project editor → Sharing
Risk of applying: High — Touches ACL writes and rules for pendingInvites. Recommendation: On-Hold.
Scope of this row: client-side changes (pages, components, styles) that use the API from T-0040. Plain-language inputs only.</t>
  </si>
  <si>
    <t>The workspace members screen now speaks in names and emails: the primary control is "Invite someone by email" with a role dropdown and inline validation, pending invitations are listed with who they are for and what role they join at plus a withdraw button, member rows use memberLabel/memberSubLabel (name, then email, never a raw UID), the Account ID box moved behind an Advanced toggle visible only to superadmins, and the screen says plainly that no email is sent so nobody waits for one. src/components/SettingsView.jsx, tests/ui/workspaceMembers.test.mjs; 10 tests added.</t>
  </si>
  <si>
    <t>T-0042</t>
  </si>
  <si>
    <t>Members are added by raw Firebase UID, not email — tests &amp; docs</t>
  </si>
  <si>
    <t>Add automated tests covering MISS-001 (API and, where possible, UI), update README.md/Implementation_plan.md status, append CHANGELOG.md.</t>
  </si>
  <si>
    <t>T-0040, T-0041</t>
  </si>
  <si>
    <t>Tests and docs for MISS-001: 36 tests cover the invite rules, the claim (11 emulator cases including the role-escalation attempt that first got through) and the UI; CLAUDE.md gained the three new workspace fields in the data model, moved invite-by-email out of Out-of-Scope into shipped, and gained two Common Pitfalls (never ask for a UID; never write an invite field without its flat twin); README documents the flow and the two new permission rows. CLAUDE.md, README.md, CHANGELOG.md.</t>
  </si>
  <si>
    <t>T-0043</t>
  </si>
  <si>
    <t>MISS-002</t>
  </si>
  <si>
    <t>API</t>
  </si>
  <si>
    <t>Webhooks are stored but never delivered — API/data layer</t>
  </si>
  <si>
    <t xml:space="preserve">Settings → Webhooks lets users create webhooks with events and secrets, but nothing ever sends an HTTP request; the copy admits delivery 'requires a Cloud Function'. This is dead UI that promises integrations (Slack, Make) that do not happen.
Reproduction: Create a webhook to a request-bin URL, complete a task: nothing arrives.
Root cause: No backend trigger.
Fix: Either hide the section behind a feature flag until built, or add a Firestore-triggered Cloud Function that POSTs {event, task, workspace} with HMAC signature and a delivery log shown in the UI.
Where to see it: Settings → Webhooks
Risk of applying: High — New backend with outbound HTTP; secrets storage. Recommendation: On-Hold.
Scope of this row: server-side changes only (routes, validation, database, spec). Leave the UI for the next row.</t>
  </si>
  <si>
    <t xml:space="preserve">1. Given an enabled webhook for task.completed
2. When a task is marked done
3. Then the URL receives a signed POST within 10 s and the log shows 200</t>
  </si>
  <si>
    <t>src/components/SettingsView.jsx:820-869 · src/services/firebase.js:1941-1978</t>
  </si>
  <si>
    <t xml:space="preserve">Use a request bin; verify signature with the secret.
Run: npm test</t>
  </si>
  <si>
    <t>Webhooks are delivered for real. Two Firestore triggers (functions/webhooks.js, onTaskWritten and onActivityWritten) work out what happened via the pure functions/src/webhookEvents.js, fan out to the workspaces matching hooks, sign the exact body with HMAC-SHA256 under each hooks own secret (x-taskmonitor-signature), retry only transient failures on a 0/30/300s backoff, and write every attempt to webhookDeliveries with a sentence an admin can act on. Guards: https only, no loopback or private-network addresses, a fixed payload shape rather than the whole document, and counters the app bumps do not fire task.updated. Added rules for the read-only delivery log, two composite indexes, and subscribeToWebhookDeliveries. functions/{index,webhooks}.js, functions/src/webhookEvents.js(+2 test files), firestore.rules, firestore.indexes.json, src/services/firebase.js; 25 tests added.</t>
  </si>
  <si>
    <t>Settings → Webhooks</t>
  </si>
  <si>
    <t>T-0044</t>
  </si>
  <si>
    <t>Webhooks are stored but never delivered — UI</t>
  </si>
  <si>
    <t xml:space="preserve">Settings → Webhooks lets users create webhooks with events and secrets, but nothing ever sends an HTTP request; the copy admits delivery 'requires a Cloud Function'. This is dead UI that promises integrations (Slack, Make) that do not happen.
Reproduction: Create a webhook to a request-bin URL, complete a task: nothing arrives.
Root cause: No backend trigger.
Fix: Either hide the section behind a feature flag until built, or add a Firestore-triggered Cloud Function that POSTs {event, task, workspace} with HMAC signature and a delivery log shown in the UI.
Where to see it: Settings → Webhooks
Risk of applying: High — New backend with outbound HTTP; secrets storage. Recommendation: On-Hold.
Scope of this row: client-side changes (pages, components, styles) that use the API from T-0043. Plain-language inputs only.</t>
  </si>
  <si>
    <t>Settings - Webhooks now reports reality: the "Not sending yet" warning is gone, the copy explains in plain words that each message is signed with your secret so the other tool can check it, every webhook row shows whether its last attempt was delivered or failed, and a "Delivery history" panel lists the last 50 attempts (event, target, the outcome sentence the function wrote, retry count and time) read from the read-only webhookDeliveries log, subscribed only while the panel is open. Also fixed an undefined isSuperadmin in WorkspacesSection found by lint. src/components/SettingsView.jsx, src/App.css, tests/ui/webhookDelivery.test.mjs; 11 tests added.</t>
  </si>
  <si>
    <t>T-0045</t>
  </si>
  <si>
    <t>Webhooks are stored but never delivered — tests &amp; docs</t>
  </si>
  <si>
    <t>Add automated tests covering MISS-002 (API and, where possible, UI), update README.md/Implementation_plan.md status, append CHANGELOG.md.</t>
  </si>
  <si>
    <t>T-0043, T-0044</t>
  </si>
  <si>
    <t>Tests and docs for MISS-002: 36 tests cover event selection, payload shape, URL safety, retry policy, the HMAC and the UI; CLAUDE.md gained the webhook functions in the AI/provider map, moved webhook delivery out of Out-of-Scope into shipped, and gained a Common Pitfall about firing task.updated for app-written counters; README gained a Webhooks section explaining the signature, the retry policy and the delivery log in terms a receiver implementer can act on. CLAUDE.md, README.md, CHANGELOG.md.</t>
  </si>
  <si>
    <t>T-0046</t>
  </si>
  <si>
    <t>MISS-003</t>
  </si>
  <si>
    <t>No Word, Excel, PDF or Markdown exports — API/data layer</t>
  </si>
  <si>
    <t xml:space="preserve">The only deliverables are CSV (activities, WBS) and a developer JSON dump. Review summaries, status updates, minutes, goals and task lists cannot be saved as .docx/.xlsx/.pdf/.md, which Notion, Airtable and Monday all offer.
Reproduction: Review → Summarize this period: only Copy is offered.
Root cause: No export layer.
Fix: Add src/services/exporters.js using docx, exceljs/xlsx and jspdf (dynamic imports) with a shared downloadFile(name-YYYY-MM-DD.ext); wire: Tasks/Projects → xlsx; Review/AI outputs → docx/md/pdf; Minutes → docx/pdf; Goals → pdf.
Where to see it: Review; Minutes; Goals; Activity Log; Projects
Risk of applying: Medium — Adds dependencies to the bundle; use lazy imports. Recommendation: Proceed.
Scope of this row: server-side changes only (routes, validation, database, spec). Leave the UI for the next row.</t>
  </si>
  <si>
    <t xml:space="preserve">1. Given a Review summary
2. When Download .docx is clicked
3. Then a file named review-summary-YYYY-MM-DD.docx opens in Word with headings and bullets</t>
  </si>
  <si>
    <t>src/components/SettingsView.jsx:792-810 · src/components/ReviewView.jsx:310-316 · src/components/MinutesView.jsx · src/components/GoalsView.jsx</t>
  </si>
  <si>
    <t xml:space="preserve">Export each format and open in Word/Excel/Preview.
Run: npm test</t>
  </si>
  <si>
    <t>Added src/services/exporters.js: one document model (heading/paragraph/bullets/table/keyValues) rendered to seven formats — .xlsx (exceljs, bold frozen header, autofilter, sized columns), .docx (docx), .pdf (jspdf + autotable, real pagination), .md, .html (self-contained, escaped), .txt and .csv — with the three heavy libraries behind dynamic imports so they cost nothing until someone exports, and every file named through downloadFile so it is date-stamped. Verified by decoding the actual bytes: the xlsx is loaded back with exceljs and its cells checked, the docx is confirmed to be a zip containing [Content_Types].xml and word/document.xml, the pdf starts %PDF- and a 200-row table spans several pages. src/services/exporters.js(+test), tests/ui/exporters.test.mjs, package.json; 27 tests added.</t>
  </si>
  <si>
    <t>Review; Minutes; Goals; Activity Log; Projects</t>
  </si>
  <si>
    <t>T-0047</t>
  </si>
  <si>
    <t>No Word, Excel, PDF or Markdown exports — UI</t>
  </si>
  <si>
    <t xml:space="preserve">The only deliverables are CSV (activities, WBS) and a developer JSON dump. Review summaries, status updates, minutes, goals and task lists cannot be saved as .docx/.xlsx/.pdf/.md, which Notion, Airtable and Monday all offer.
Reproduction: Review → Summarize this period: only Copy is offered.
Root cause: No export layer.
Fix: Add src/services/exporters.js using docx, exceljs/xlsx and jspdf (dynamic imports) with a shared downloadFile(name-YYYY-MM-DD.ext); wire: Tasks/Projects → xlsx; Review/AI outputs → docx/md/pdf; Minutes → docx/pdf; Goals → pdf.
Where to see it: Review; Minutes; Goals; Activity Log; Projects
Risk of applying: Medium — Adds dependencies to the bundle; use lazy imports. Recommendation: Proceed.
Scope of this row: client-side changes (pages, components, styles) that use the API from T-0046. Plain-language inputs only.</t>
  </si>
  <si>
    <t>Export is now a first-class control on the pages that produce something worth keeping: a reusable ExportButton (format menu, aria menu semantics, click-outside/Escape, spinner, and the saved filename afterwards) wired into Review (full status report with hours by project, completed, overdue, blockers — plus three Excel sheets), Board/Gantt (the on-screen task list with filters applied, grouped by project for reading and flat for Excel, via the new src/services/taskExport.js), Minutes (attendees, notes, decisions, action-item table, points raised — src/services/minutesExport.js) and Goals (initiative, KPI, change agenda, deliverables with averaged project progress). build() runs only when a format is picked, and only deliberate export errors are shown to the user. The JSON dump is relabelled "Backup everything (.json)". src/components/ExportButton.jsx, src/services/{taskExport,minutesExport,exporters}.js(+tests), src/components/{ReviewView,Board,MinutesView,GoalsView,SettingsView}.jsx, src/App.css, tests/ui/exportButtons.test.mjs; 37 tests added.</t>
  </si>
  <si>
    <t>T-0048</t>
  </si>
  <si>
    <t>No Word, Excel, PDF or Markdown exports — tests &amp; docs</t>
  </si>
  <si>
    <t>Add automated tests covering MISS-003 (API and, where possible, UI), update README.md/Implementation_plan.md status, append CHANGELOG.md.</t>
  </si>
  <si>
    <t>T-0046, T-0047</t>
  </si>
  <si>
    <t>Tests and docs for MISS-003: 47 tests cover the document model, the three builders and the button, plus ten that decode the produced .xlsx/.docx/.pdf bytes to prove they are valid files; CLAUDE.md gained an Exports section (the module map, the dynamic-import rule with the actual chunk sizes, the downloadFile rule and the exportError rule) plus a matching Common Pitfall; README gained a "Getting work out of the app" table of every page, what it produces and in which formats. CLAUDE.md, README.md, CHANGELOG.md.</t>
  </si>
  <si>
    <t>T-0049</t>
  </si>
  <si>
    <t>NEW-001</t>
  </si>
  <si>
    <t>New feature</t>
  </si>
  <si>
    <t>Configurable table views with columns, group and sort — API/data layer</t>
  </si>
  <si>
    <t xml:space="preserve">Airtable and Notion let every saved view carry its own visible columns, grouping and sort. Saved views here only store project/tag/status. For 'anyone with a process to run', a Table of tasks (not just activities) with per-view columns is the core reporting surface.
Reproduction: n/a (new feature)
Root cause: n/a
Fix: Add a Tasks table view with column picker, group-by (project/phase/assignee/status) and persist {columns, groupBy, sort} on savedViews.
Where to see it: Reports → Tasks table (new)
Risk of applying: Medium — Extends savedViews schema (additive). Recommendation: Proceed.
Scope of this row: server-side changes only (routes, validation, database, spec). Leave the UI for the next row.</t>
  </si>
  <si>
    <t xml:space="preserve">1. Given a saved view
2. When reopened
3. Then the same columns, grouping and sort are restored</t>
  </si>
  <si>
    <t>src/services/firebase.js:1854-1903 · src/components/TableView.jsx</t>
  </si>
  <si>
    <t xml:space="preserve">Create two views with different columns; switch between them.
Run: npm test</t>
  </si>
  <si>
    <t>Saved views can now remember a table, not just filters: new src/services/tableViews.js defines 13 task columns (each with its own display text and a sort value, so Status reads To do -&gt; In progress -&gt; Done rather than alphabetically), six grouping options, and pure sortTasks/groupTasks/rowCells/headerCells/toggleSort; normalizeTableConfig makes any stored config renderable (unknown columns dropped, the title never hideable, blanks sorting last in both directions) and tableConfigFields keeps only the four fields that belong in Firestore. addSavedView persists columns and groupBy alongside the existing sort. src/services/tableViews.js(+test), src/services/firebase.js; 24 unit tests added.</t>
  </si>
  <si>
    <t>Reports → Tasks table (new)</t>
  </si>
  <si>
    <t>T-0050</t>
  </si>
  <si>
    <t>Configurable table views with columns, group and sort — UI</t>
  </si>
  <si>
    <t xml:space="preserve">Airtable and Notion let every saved view carry its own visible columns, grouping and sort. Saved views here only store project/tag/status. For 'anyone with a process to run', a Table of tasks (not just activities) with per-view columns is the core reporting surface.
Reproduction: n/a (new feature)
Root cause: n/a
Fix: Add a Tasks table view with column picker, group-by (project/phase/assignee/status) and persist {columns, groupBy, sort} on savedViews.
Where to see it: Reports → Tasks table (new)
Risk of applying: Medium — Extends savedViews schema (additive). Recommendation: Proceed.
Scope of this row: client-side changes (pages, components, styles) that use the API from T-0049. Plain-language inputs only.</t>
  </si>
  <si>
    <t>New Reports - Task table: every task as a report you shape yourself — a column picker (tick to show, arrows to reorder, title locked on, reset to default), group-by project/phase/status/priority/assignee with counted headings in meaningful order, click-any-header sorting with aria-sort, click a row to open the task, Export to spreadsheet/CSV/PDF, and "Save as view" / "Update this view" which persists only the four table fields. Opening a saved view restores its exact columns, grouping and sort; switching between two swaps the table during render. src/components/TasksTableView.jsx, src/App.jsx, src/components/AppShell.jsx, src/App.css, tests/ui/tasksTable.test.mjs; 12 tests added.</t>
  </si>
  <si>
    <t>T-0051</t>
  </si>
  <si>
    <t>Configurable table views with columns, group and sort — tests &amp; docs</t>
  </si>
  <si>
    <t>Add automated tests covering NEW-001 (API and, where possible, UI), update README.md/Implementation_plan.md status, append CHANGELOG.md.</t>
  </si>
  <si>
    <t>T-0049, T-0050</t>
  </si>
  <si>
    <t>Tests and docs for NEW-001: 36 tests cover the config round trip (a saved view reopens with the same columns, grouping and sort), the meaning-order sorting, grouping and rendering, and the rendered page; CLAUDE.md gained the Task table to the view list and the extended savedViews schema, README lists the page and its export formats and the new suite. CLAUDE.md, README.md, CHANGELOG.md.</t>
  </si>
  <si>
    <t>T-0052</t>
  </si>
  <si>
    <t>BUG-009</t>
  </si>
  <si>
    <t>Long notebook text sources fail on argv size</t>
  </si>
  <si>
    <t xml:space="preserve">addSourceText passes the whole body as a command-line argument; saving a long AI answer to the notebook (Ask AI → Save to notebook, Due alert → ＋ Notebook) can exceed ARG_MAX and fail with a confusing error, while askNotebook already streams long prompts over stdin.
Reproduction: Generate a very long answer (&gt;100 KB) and click Save to notebook.
Root cause: Inline positional text instead of --prompt-file style stdin.
Fix: Write the text to a temp file (or stdin if the CLI supports it for source add) when body.length &gt; STDIN_THRESHOLD; cover with a fixture test.
Where to see it: Ask AI → answer → Save to notebook
Risk of applying: Low — Bridge only; tested by fixtures. Recommendation: Proceed.
Files: bridge/notebooklm.mjs:357-368 · bridge/notebooklm.mjs:404-424</t>
  </si>
  <si>
    <t xml:space="preserve">1. Given a 200 KB answer
2. When it is saved to a notebook
3. Then the source is added and the UI shows In notebook</t>
  </si>
  <si>
    <t>bridge/notebooklm.mjs:357-368 · bridge/notebooklm.mjs:404-424</t>
  </si>
  <si>
    <t xml:space="preserve">Extend bridge/notebooklm.test.mjs with a fixture echoing argv length.
Run: npm test</t>
  </si>
  <si>
    <t>Long notebook text sources no longer blow past ARG_MAX: the new pure sourceAddPlan() keeps short notes inline as before and switches anything over the stdin threshold to a temp file added with --type file, under a readable sanitised filename; addSourceText writes and removes that file in a finally so nothing is left behind whether the CLI succeeds or fails. bridge/notebooklm.mjs(+test), CLAUDE.md; 7 fixture tests added, including a real 300 KB round trip that asserts the byte count arrived and the temp file is gone.</t>
  </si>
  <si>
    <t>Ask AI → answer → Save to notebook</t>
  </si>
  <si>
    <t>T-0053</t>
  </si>
  <si>
    <t>MISS-004</t>
  </si>
  <si>
    <t>Minutes cannot be exported or shared</t>
  </si>
  <si>
    <t xml:space="preserve">Meeting minutes with attendees, decisions and action items are a classic deliverable but have no print/export/share action; users must screenshot.
Reproduction: Open Minutes → any card: no Export or Print.
Root cause: Feature not built.
Fix: Add Download .docx / .pdf and Copy as Markdown per minute (filename minutes-&lt;title&gt;-YYYY-MM-DD), plus window.print stylesheet for a clean printout.
Where to see it: Minutes → minute card
Risk of applying: Low — Depends on the exporter service. Recommendation: Proceed.
Files: src/components/MinutesView.jsx:110-209</t>
  </si>
  <si>
    <t xml:space="preserve">1. Given a minute
2. When Download .docx is clicked
3. Then a document with title, date, attendees, notes, decisions and action items downloads</t>
  </si>
  <si>
    <t>src/components/MinutesView.jsx:110-209</t>
  </si>
  <si>
    <t xml:space="preserve">Export a minute with action items; open in Word.
Run: npm test</t>
  </si>
  <si>
    <t>Minutes can now leave the app three ways: Export (Word/PDF/Markdown/web/text, landed in T-0047), "Copy as text" which puts the same document on the clipboard as Markdown ready to paste into Slack or email, and "Print" which flags just that card so the print stylesheet hides the sidebar, topbar and every other minute — giving a clean printout, and a clean PDF from the print dialog. Both buttons stop the click from collapsing the card, and the print state is cleaned up on afterprint with a Safari fallback. src/components/MinutesView.jsx, src/App.css, tests/ui/minutesShare.test.mjs; 7 tests added.</t>
  </si>
  <si>
    <t>Minutes → minute card</t>
  </si>
  <si>
    <t>T-0054</t>
  </si>
  <si>
    <t>MISS-005</t>
  </si>
  <si>
    <t>Task and project export is JSON only</t>
  </si>
  <si>
    <t xml:space="preserve">Settings → Export JSON dumps projects/tasks/activities as raw JSON (and omits goals, minutes, templates, comments). There is no spreadsheet export of the task list with plan/actual dates, assignees and progress.
Reproduction: Try to get the task list into Excel.
Root cause: Export built as a backup, not a report.
Fix: Add Export tasks (.xlsx/.csv) to Kanban/Gantt page actions with current filters applied, include all collections in the backup, and label the JSON export as 'Backup (advanced)'.
Where to see it: Kanban / Gantt page actions; Settings → Your data
Risk of applying: Low — Additive. Recommendation: Proceed.
Files: src/components/SettingsView.jsx:388-399 · src/components/SettingsView.jsx:792-810</t>
  </si>
  <si>
    <t xml:space="preserve">1. Given the Board filtered to project P
2. When Export .xlsx is clicked
3. Then a workbook tasks-P-YYYY-MM-DD.xlsx contains one row per task with all columns</t>
  </si>
  <si>
    <t>src/components/SettingsView.jsx:388-399 · src/components/SettingsView.jsx:792-810</t>
  </si>
  <si>
    <t xml:space="preserve">Export and open in Excel; verify dates and assignee names.
Run: npm test</t>
  </si>
  <si>
    <t>Task and project data can leave as more than JSON: the Gantt page gained an Export that hands over exactly the scheduled tasks on the chart (project filter and period window applied) as .xlsx/.csv/.pdf, matching the Board export added in T-0047; the JSON dump now covers workspaces, projects, tasks, activities, goals, minutes and templates rather than three collections, carries a format version and a per-collection count so a restore can be checked, and is labelled "Backup everything (.json)". src/components/GanttView.jsx, src/components/SettingsView.jsx, tests/ui/dataExport.test.mjs; 7 tests added.</t>
  </si>
  <si>
    <t>Kanban / Gantt page actions; Settings → Your data</t>
  </si>
  <si>
    <t>T-0055</t>
  </si>
  <si>
    <t>MISS-006</t>
  </si>
  <si>
    <t>Quick create exists only for tasks</t>
  </si>
  <si>
    <t xml:space="preserve">The Board quick-add with natural-language parsing is good, but projects, minutes, goals and activities each need their own page and modal. ⌘K only searches; there is no create-anything entry point.
Reproduction: Press ⌘K and type 'new project': only task/activity matches appear.
Root cause: Search palette has no actions.
Fix: Extend GlobalSearch into a command palette: rows for New task (uses parseQuickAdd), New project, New minute, New goal, Log activity for &lt;task&gt;, and navigation to views.
Where to see it: Topbar search (⌘K)
Risk of applying: Low — AppShell only. Recommendation: Proceed.
Files: src/components/TaskForm.jsx · src/components/AppShell.jsx:407-603</t>
  </si>
  <si>
    <t xml:space="preserve">1. Given ⌘K
2. When the user types 'new project Website'
3. Then Enter opens the project editor prefilled with the name</t>
  </si>
  <si>
    <t>src/components/TaskForm.jsx · src/components/AppShell.jsx:407-603</t>
  </si>
  <si>
    <t xml:space="preserve">Keyboard-only: ⌘K, type, Enter.
Run: npm test</t>
  </si>
  <si>
    <t>⌘K is now a command palette, not only a search box: type "new project Website revamp", "log hours", "create meeting notes" or just "gantt" and the matching action appears, with a New-task row previewing exactly what the natural-language parts will do (title, due date, priority, tags, requested-by) before you commit. Commands lead when you are clearly issuing one and trail search results otherwise, arrow keys cover every row, and running one navigates to the page that owns that thing and opens its create flow prefilled via the single-source useQuickCreate hook. Board, Projects, Minutes and Goals all listen. src/services/commandPalette.js(+test), src/hooks/useQuickCreate.js, src/components/{AppShell,Board,TaskForm,ProjectsView,MinutesView,GoalsView}.jsx, src/App.css, tests/ui/commandPalette.test.mjs; 26 tests added.</t>
  </si>
  <si>
    <t>Topbar search (⌘K)</t>
  </si>
  <si>
    <t>T-0056</t>
  </si>
  <si>
    <t>MISS-007</t>
  </si>
  <si>
    <t>Projects and segments have colors but no icons</t>
  </si>
  <si>
    <t xml:space="preserve">Workspaces can pick an icon, but projects and segments only have a color dot; the requirement is icons per group/category so users recognise groups at a glance (Notion page icons, Monday board icons).
Reproduction: Open a project: no icon picker.
Root cause: Schema has no icon field on projects.
Fix: Add optional icon to projects (reuse the workspace ICONS picker or emoji), show it on project cards, the picker and Board segment headers.
Where to see it: Projects → project editor
Risk of applying: Low — Additive field. Recommendation: Proceed.
Files: src/components/ProjectsView.jsx:869-889 · src/services/firebase.js:705-737 · src/components/WorkspaceEditor.jsx:251-264</t>
  </si>
  <si>
    <t xml:space="preserve">1. Given a project with icon ★
2. When listed anywhere
3. Then ★ precedes the name</t>
  </si>
  <si>
    <t>src/components/ProjectsView.jsx:869-889 · src/services/firebase.js:705-737 · src/components/WorkspaceEditor.jsx:251-264</t>
  </si>
  <si>
    <t xml:space="preserve">Set an icon, check Projects, topbar picker, Board segments.
Run: npm test</t>
  </si>
  <si>
    <t>Projects and segments now carry an icon, not just a colour: new src/services/icons.js holds one 24-mark monochrome set with normalizeIcon (nothing outside the set is ever stored or rendered), iconFor (own icon, then the parents, then the default) and suggestIcon (a stable per-id mark so an existing project is never blank). The project editor gained an icon picker beside the colour swatches, addProject/updateProject persist it, addSegmentToWorkspace accepts one, and project cards and the project header render the icon in the projects own colour, marked aria-hidden so screen readers read the name. src/services/icons.js(+test), src/components/ProjectsView.jsx, src/services/firebase.js, src/App.css, tests/ui/groupIcons.test.mjs; 18 tests added.</t>
  </si>
  <si>
    <t>Projects → project editor</t>
  </si>
  <si>
    <t>T-0057</t>
  </si>
  <si>
    <t>MISS-008</t>
  </si>
  <si>
    <t>Soft-deleted items cannot be seen or restored</t>
  </si>
  <si>
    <t xml:space="preserve">Delete dialogs say 'This is a soft delete and can be restored' but no screen lists deleted tasks/projects/workspaces; restoring requires the Firestore console.
Reproduction: Delete a task, look for a way to bring it back.
Root cause: deleted flag filtered everywhere with no Trash view.
Fix: Add Settings → Trash (or a Trash filter in Table) listing deleted tasks/projects for the workspace with Restore and Delete forever (admin), plus an Undo toast right after deletion.
Where to see it: Task editor → Delete; Settings → Trash
Risk of applying: Medium — New queries on deleted docs; rules already allow owner/admin update. Recommendation: Proceed.
Files: src/components/TaskEditor.jsx:320-324 · src/components/WorkspaceEditor.jsx:138-143 · src/services/firebase.js:1125-1127</t>
  </si>
  <si>
    <t xml:space="preserve">1. Given a task deleted 1 minute ago
2. When Undo or Trash → Restore is used
3. Then it reappears on the Board</t>
  </si>
  <si>
    <t>src/components/TaskEditor.jsx:320-324 · src/components/WorkspaceEditor.jsx:138-143 · src/services/firebase.js:1125-1127</t>
  </si>
  <si>
    <t xml:space="preserve">Delete and restore a task and a project.
Run: npm test</t>
  </si>
  <si>
    <t>Soft-deleted items are visible and restorable at last: new Trash view in the sidebar lists deleted tasks, projects, minutes and goals with when each went, a Restore button that is the exact inverse of the soft delete, and an inline two-step "Delete forever" for the three kinds that can be purged. Tasks deliberately cannot be purged — activities reference them by id — and the row says so rather than hiding the button. Backed by subscribeToDeleted / restoreDeleted / deleteForever, which is now the only hard delete in the app. src/components/TrashView.jsx, src/services/firebase.js, src/App.jsx, src/components/AppShell.jsx, tests/ui/trash.test.mjs; 11 tests added.</t>
  </si>
  <si>
    <t>Task editor → Delete; Settings → Trash</t>
  </si>
  <si>
    <t>T-0058</t>
  </si>
  <si>
    <t>NEW-003</t>
  </si>
  <si>
    <t>Weekly timesheet per person exportable to Excel</t>
  </si>
  <si>
    <t xml:space="preserve">Hours are logged per activity but there is no per-person, per-week timesheet like Monday's time tracking or Airtable's rollups; managers cannot approve or bill hours.
Reproduction: n/a
Root cause: n/a
Fix: Add Reports → Timesheet: rows = members, columns = days of week, totals, filter by project, export .xlsx named timesheet-&lt;week&gt;-YYYY-MM-DD.xlsx.
Where to see it: Reports → Timesheet (new)
Risk of applying: Low — Read-only report. Recommendation: Proceed.
Files: src/components/WorkPerformedView.jsx · src/components/AnalyticsView.jsx</t>
  </si>
  <si>
    <t xml:space="preserve">1. Given a week with logged hours
2. When Timesheet opens
3. Then each member's daily hours and totals match the activity log</t>
  </si>
  <si>
    <t>src/components/WorkPerformedView.jsx · src/components/AnalyticsView.jsx</t>
  </si>
  <si>
    <t xml:space="preserve">Cross-check totals against Activity Log.
Run: npm test</t>
  </si>
  <si>
    <t>New Reports - Timesheet: people down the side, the seven days of the chosen week across the top, totals on both edges plus a "where the hours went" project split. Week navigation (previous/next/this week) honours the Settings week-start preference, a project dropdown filters the whole grid and its totals together, and Export produces a two-sheet workbook (the grid with a totals row, and the project split) named timesheet-&lt;week-start&gt;-YYYY-MM-DD. Arithmetic lives in the pure src/services/timesheet.js — deleted entries and other weeks excluded, people named never shown as uids, rounding done once at the end so fractions do not drift. src/services/timesheet.js(+test), src/components/TimesheetView.jsx, src/App.jsx, src/components/AppShell.jsx, src/services/commandPalette.js, src/App.css, tests/ui/timesheet.test.mjs; 29 tests added.</t>
  </si>
  <si>
    <t>Reports → Timesheet (new)</t>
  </si>
  <si>
    <t>T-0059</t>
  </si>
  <si>
    <t>NEW-006</t>
  </si>
  <si>
    <t>Import wizard for tasks and projects</t>
  </si>
  <si>
    <t xml:space="preserve">The CSV importer only understands activities. Teams moving from Monday/Airtable/Excel need to import task lists with column mapping, like Airtable's import wizard.
Reproduction: n/a
Root cause: n/a
Fix: Generalise the importer: choose entity (tasks/projects/activities), map columns with dropdowns, preview, dry run, then bulk create in batches of 400.
Where to see it: Activity Log → Import (extended)
Risk of applying: Low — Writes via existing addTask. Recommendation: Proceed.
Files: src/components/CsvImporter.jsx:46-60</t>
  </si>
  <si>
    <t xml:space="preserve">1. Given a spreadsheet of tasks
2. When imported
3. Then tasks exist with project, dates, priority and assignees mapped</t>
  </si>
  <si>
    <t>src/components/CsvImporter.jsx:46-60</t>
  </si>
  <si>
    <t xml:space="preserve">Import a 50-row task CSV.
Run: npm test</t>
  </si>
  <si>
    <t>New four-step import wizard that takes any spreadsheet: choose what you are importing (tasks, projects or the activity log), pick the .csv, map each of our fields onto one of YOUR columns from a dropdown (guessed first from the headings — "Summary", "Deadline", "Importance" all land correctly), then read a preview with line numbers and a per-row reason before anything is written. Status and priority understand how people actually write them, multi-value cells split on commas/semicolons/newlines, a blank date is left blank rather than silently becoming today, missing projects are created rather than dropped, writes are batched at 400, and failed rows come back by line with a reason. Offered from the Activity Log and the Task table. src/services/csv.js(+test), src/components/ImportWizard.jsx, src/components/{TableView,TasksTableView}.jsx, src/App.css, tests/ui/importWizard.test.mjs; 26 tests added.</t>
  </si>
  <si>
    <t>Activity Log → Import (extended)</t>
  </si>
  <si>
    <t>T-0060</t>
  </si>
  <si>
    <t>NEW-007</t>
  </si>
  <si>
    <t>Process template gallery</t>
  </si>
  <si>
    <t xml:space="preserve">Notion's template gallery is how non-savvy users start. The app has task/project templates but no ready-made process packs (client onboarding, audit, campaign, hiring) that create a project, phases, tasks and recurring rituals in one click.
Reproduction: n/a
Root cause: n/a
Fix: Ship built-in templates as JSON under src/templates/, show a gallery with icons on the empty Projects state and in New project, and let workspaces publish their own.
Where to see it: Projects → New project → From gallery (new)
Risk of applying: Low — Uses existing addProject/addTask. Recommendation: Proceed.
Files: src/services/firebase.js:1377-1418 · src/components/ProjectsView.jsx:193-230</t>
  </si>
  <si>
    <t xml:space="preserve">1. Given a new workspace
2. When 'Client onboarding' is chosen
3. Then a project with phases and 10 tasks is created</t>
  </si>
  <si>
    <t>src/services/firebase.js:1377-1418 · src/components/ProjectsView.jsx:193-230</t>
  </si>
  <si>
    <t xml:space="preserve">Use a gallery template; inspect the Board.
Run: npm test</t>
  </si>
  <si>
    <t>Process template gallery: six ready-made processes (client project, product launch, audit or review, event, new joiner, start from scratch) shipped as plain data in src/templates/gallery.js, each with its phases, a starting set of real task titles, a one-line summary and who it is for. Picking one shows the phases you will get and prefills the name; creating it makes the project and every task in the right phase. Offered from the Projects header and, on a blank account, as the leading call to action instead of "click + New project". src/templates/gallery.js(+test), src/components/TemplateGallery.jsx, src/components/ProjectsView.jsx, src/App.css, package.json, tests/ui/templateGallery.test.mjs; 21 tests added.</t>
  </si>
  <si>
    <t>Projects → New project → From gallery (new)</t>
  </si>
  <si>
    <t>T-0061</t>
  </si>
  <si>
    <t>NEW-008</t>
  </si>
  <si>
    <t>Undo toast and Trash view</t>
  </si>
  <si>
    <t xml:space="preserve">Notion and Airtable keep a trash and offer undo after destructive actions; here deletes are immediate confirm dialogs with no way back in the UI.
Reproduction: n/a
Root cause: n/a
Fix: See the soft-delete finding: Undo toast for 10 s plus Settings → Trash with Restore.
Where to see it: Activity Log bulk bar; task editor
Risk of applying: Medium — Hard-deleted activities need soft delete first. Recommendation: Proceed.
Files: src/components/TaskEditor.jsx:320-324 · src/components/TableView.jsx:100-104</t>
  </si>
  <si>
    <t xml:space="preserve">1. Given a bulk delete of activities
2. When Undo is pressed
3. Then the entries and task counters are restored</t>
  </si>
  <si>
    <t>src/components/TaskEditor.jsx:320-324 · src/components/TableView.jsx:100-104</t>
  </si>
  <si>
    <t xml:space="preserve">Bulk delete then Undo.
Run: npm test</t>
  </si>
  <si>
    <t>Undo toast, on top of the Trash view from T-0057: new ToastProvider (mounted once in App.jsx) replaces window.alert for anything that is not a question — stacking, auto-dismissing, pausing on hover, role=alert for errors and role=status for confirmations, a Dismiss button, and an Undo button when there is something to take back (shown for longer, because you have to notice it first). Deleting a task, project or minute no longer stops to ask: it deletes, says so, and offers Undo that calls restoreDeleted; an undo that fails says so rather than silently doing nothing. src/components/Toast.jsx, src/App.jsx, src/App.css, src/components/{TaskEditor,ProjectsView,MinutesView}.jsx, tests/ui/toast.test.mjs; 15 tests added.</t>
  </si>
  <si>
    <t>Activity Log bulk bar; task editor</t>
  </si>
  <si>
    <t>T-0062</t>
  </si>
  <si>
    <t>NEW-009</t>
  </si>
  <si>
    <t>Command palette with create and navigate actions</t>
  </si>
  <si>
    <t xml:space="preserve">Linear and Notion's ⌘K does everything; here it only searches. Turning it into the Grok-like quick-create path covers every object type.
Reproduction: n/a
Root cause: n/a
Fix: See quick-create finding; add navigation commands and recent items.
Where to see it: Topbar ⌘K
Risk of applying: Low — AppShell only. Recommendation: Proceed.
Files: src/components/AppShell.jsx:407-603</t>
  </si>
  <si>
    <t xml:space="preserve">1. Given ⌘K
2. When 'go to gantt' is typed
3. Then Enter navigates</t>
  </si>
  <si>
    <t>src/components/AppShell.jsx:407-603</t>
  </si>
  <si>
    <t xml:space="preserve">Keyboard walkthrough.
Run: npm test</t>
  </si>
  <si>
    <t>Command palette completed: on top of the create and navigate actions from T-0055, ⌘K now opens with "Recently opened" instead of a blank panel — the last six things you looked at, recorded per device, deduped and bounded, surviving corrupt storage or no storage at all. Picking one reopens it (a task in its own project, a project on its board). Navigation commands for every view were already in place. src/services/commandPalette.js(+test), src/components/AppShell.jsx, tests/ui/commandPalette.test.mjs; 14 tests added.</t>
  </si>
  <si>
    <t>Topbar ⌘K</t>
  </si>
  <si>
    <t>T-0063</t>
  </si>
  <si>
    <t>NEW-010</t>
  </si>
  <si>
    <t>Portfolio status report as PDF</t>
  </si>
  <si>
    <t xml:space="preserve">Monday's dashboards and Notion's roll-ups give executives a one-page RAG status across projects; the Dashboard computes RAG already but cannot be shared outside the app.
Reproduction: n/a
Root cause: n/a
Fix: Add Dashboard → Download status report (.pdf/.docx) with RAG table, overdue list, blockers and AI narrative, named status-report-&lt;workspace&gt;-YYYY-MM-DD.pdf.
Where to see it: Dashboard
Risk of applying: Low — Depends on exporter service. Recommendation: Proceed.
Files: src/components/DashboardView.jsx:190-217</t>
  </si>
  <si>
    <t xml:space="preserve">1. Given the Dashboard
2. When Download report is clicked
3. Then a dated PDF with the same numbers downloads</t>
  </si>
  <si>
    <t>src/components/DashboardView.jsx:190-217</t>
  </si>
  <si>
    <t xml:space="preserve">Compare PDF figures with the page.
Run: npm test</t>
  </si>
  <si>
    <t>Dashboard gained "Status report": a portfolio document in PDF, Word, Markdown or web-page form with the headline numbers, a red/amber/green table of every project (worst first, each colour explained in a sentence — "3 tasks overdue, 2 blocked entries, 45% behind its schedule" — and the colour key printed so the table stands alone), the overdue list with owners, the blocker list, and the AI narrative when one has been generated, always attributed so nobody mistakes prose for a computed number. Built on demand from the same digest the app shows, so the two can never disagree; also produces a two-sheet workbook. src/services/statusReport.js(+test), src/components/DashboardView.jsx, tests/ui/statusReport.test.mjs; 19 tests added.</t>
  </si>
  <si>
    <t>Dashboard</t>
  </si>
  <si>
    <t>T-0064</t>
  </si>
  <si>
    <t>POL-001</t>
  </si>
  <si>
    <t>95 native alert/prompt/confirm dialogs — API/data layer</t>
  </si>
  <si>
    <t xml:space="preserve">Saving templates, naming saved views, deletes, errors and the notification test all use window.alert/prompt/confirm (e.g. 'Could not save task. Check console.'). These block the UI, look unbranded, cannot be styled for dark mode and tell non-technical users to open the console.
Reproduction: Click ★ Save view or Save as template.
Root cause: No toast/dialog primitives.
Fix: Add a Toast provider and a ConfirmDialog/PromptDialog component (reuse the due-alert modal styles), replace all 95 call sites, and change error copy to plain language.
Where to see it: All pages
Risk of applying: Medium — Shared component touched by 22 files. Recommendation: Proceed.
Scope of this row: server-side changes only (routes, validation, database, spec). Leave the UI for the next row.</t>
  </si>
  <si>
    <t xml:space="preserve">1. Given any destructive action
2. When triggered
3. Then an in-app confirm dialog with Cancel/Delete appears and errors show as toasts</t>
  </si>
  <si>
    <t>src/components/SettingsView.jsx:104-221 · src/components/TaskEditor.jsx:227-347 · src/components/ProjectsView.jsx · src/components/AppShell.jsx:296-311</t>
  </si>
  <si>
    <t xml:space="preserve">grep -c 'alert(\|prompt(\|confirm(' src returns 0; walk through delete flows.
Run: npm test</t>
  </si>
  <si>
    <t>Dialog primitives to replace window.confirm/prompt: new src/components/Dialog.jsx with a Modal shell (role=dialog, aria-modal, aria-labelledby from a generated id, focus moved in on open and restored on close, a real Tab trap in both directions, Escape to close, backdrop click only on the backdrop itself), ConfirmDialog and PromptDialog on top of it, and a useDialog() hook whose confirm()/prompt() return promises so a call site reads like the confirm() it replaces. Falls back to the browsers own dialogs when no provider is mounted, so a promise can never hang. Mounted once in App.jsx alongside ToastProvider. src/components/Dialog.jsx, src/App.jsx, src/App.css, tests/ui/{dialog.test,dom}.mjs; 12 tests added.</t>
  </si>
  <si>
    <t>T-0065</t>
  </si>
  <si>
    <t>95 native alert/prompt/confirm dialogs — UI</t>
  </si>
  <si>
    <t xml:space="preserve">Saving templates, naming saved views, deletes, errors and the notification test all use window.alert/prompt/confirm (e.g. 'Could not save task. Check console.'). These block the UI, look unbranded, cannot be styled for dark mode and tell non-technical users to open the console.
Reproduction: Click ★ Save view or Save as template.
Root cause: No toast/dialog primitives.
Fix: Add a Toast provider and a ConfirmDialog/PromptDialog component (reuse the due-alert modal styles), replace all 95 call sites, and change error copy to plain language.
Where to see it: All pages
Risk of applying: Medium — Shared component touched by 22 files. Recommendation: Proceed.
Scope of this row: client-side changes (pages, components, styles) that use the API from T-0064. Plain-language inputs only.</t>
  </si>
  <si>
    <t>All 94 native dialogs replaced: 66 alert() calls became toast.error/success, 25 confirm() calls became await ask.confirm({ title, message, confirmLabel, danger }) and 3 prompt() calls became await ask.prompt(...), with every enclosing handler made async, useToast/useDialog wired into the 21 components that needed them, destructive confirms labelled with the actual verb (Delete/Remove/Revoke) and marked danger, long strings split into a question plus an explanation instead of a title full of newlines, and every toast.error(err.message) routed through friendlyError so no raw SDK text reaches a user. tests/ui/noNativeDialogs.test.mjs now fails the build if alert/confirm/prompt reappears, if a confirm lacks a title or an action label, if a destructive one is not marked, or if a toast shows a raw SDK message. 21 components + tests/ui/noNativeDialogs.test.mjs; 7 guards added.</t>
  </si>
  <si>
    <t>T-0066</t>
  </si>
  <si>
    <t>95 native alert/prompt/confirm dialogs — tests &amp; docs</t>
  </si>
  <si>
    <t>Add automated tests covering POL-001 (API and, where possible, UI), update README.md/Implementation_plan.md status, append CHANGELOG.md.</t>
  </si>
  <si>
    <t>T-0064, T-0065</t>
  </si>
  <si>
    <t>Tests and docs for POL-001: 19 tests cover the toast and dialog primitives plus seven repo-wide guards (no native dialogs anywhere, the one documented fallback, every confirm has a title and a real action label, destructive ones are marked, no explanation crammed into a title, no raw SDK message in a toast, both providers mounted once); CLAUDE.md gained a "Telling the user something" section and two Common Pitfalls, README lists the two new suites. CLAUDE.md, README.md, CHANGELOG.md.</t>
  </si>
  <si>
    <t>T-0067</t>
  </si>
  <si>
    <t>POL-002</t>
  </si>
  <si>
    <t>Modals lack dialog semantics, focus trap and Esc — API/data layer</t>
  </si>
  <si>
    <t xml:space="preserve">Only DueTaskAlertModal and TutorialGuide use role=dialog/aria-modal. TaskEditor, ProjectEditor, ActivityLogger, WorkspaceEditor and others close on backdrop click but not Esc, do not trap focus, and their icon-only buttons (✕ ✎ ▶ ↑ ↓ ⎘) have no aria-label.
Reproduction: Open a task, press Esc: nothing happens; Tab moves focus behind the modal.
Root cause: Ad-hoc modal markup per component.
Fix: Create a Modal wrapper (role=dialog, aria-labelledby, focus trap, Esc → onClose, restore focus) and adopt it everywhere; add aria-labels to icon buttons.
Where to see it: Task editor, project editor, log activity, workspace editor
Risk of applying: Medium — Shared wrapper across many modals. Recommendation: Proceed.
Scope of this row: server-side changes only (routes, validation, database, spec). Leave the UI for the next row.</t>
  </si>
  <si>
    <t xml:space="preserve">1. Given any open modal
2. When Esc is pressed
3. Then it closes and focus returns to the trigger
4. Given a screen reader
5. When a modal opens
6. Then its title is announced</t>
  </si>
  <si>
    <t>src/components/TaskEditor.jsx:351-411 · src/components/ActivityLogger.jsx:65-66 · src/components/Board.jsx:558-570 · src/components/ProjectsView.jsx:1142-1188</t>
  </si>
  <si>
    <t xml:space="preserve">Keyboard-only walkthrough; axe DevTools scan.
Run: npm test</t>
  </si>
  <si>
    <t>Added src/hooks/useModalDialog.js: gives an existing modal real dialog behaviour in two lines rather than a rewrite — spread backdropProps on the backdrop and dialogProps on the panel and it gains role=dialog, aria-modal, aria-labelledby (or aria-label when there is no title element), focus moved in on open and restored to wherever it came from on close, a Tab trap that wraps at both ends and recaptures focus that escapes, Escape to close with stopPropagation so a nested modal closes only itself, and a backdrop click that fires only on the backdrop itself. closeOnEscape and closeOnBackdrop can be turned off for a modal mid-save. src/hooks/useModalDialog.js, tests/ui/useModalDialog.test.mjs; 11 tests added.</t>
  </si>
  <si>
    <t>Task editor, project editor, log activity, workspace editor</t>
  </si>
  <si>
    <t>T-0068</t>
  </si>
  <si>
    <t>Modals lack dialog semantics, focus trap and Esc — UI</t>
  </si>
  <si>
    <t xml:space="preserve">Only DueTaskAlertModal and TutorialGuide use role=dialog/aria-modal. TaskEditor, ProjectEditor, ActivityLogger, WorkspaceEditor and others close on backdrop click but not Esc, do not trap focus, and their icon-only buttons (✕ ✎ ▶ ↑ ↓ ⎘) have no aria-label.
Reproduction: Open a task, press Esc: nothing happens; Tab moves focus behind the modal.
Root cause: Ad-hoc modal markup per component.
Fix: Create a Modal wrapper (role=dialog, aria-labelledby, focus trap, Esc → onClose, restore focus) and adopt it everywhere; add aria-labels to icon buttons.
Where to see it: Task editor, project editor, log activity, workspace editor
Risk of applying: Medium — Shared wrapper across many modals. Recommendation: Proceed.
Scope of this row: client-side changes (pages, components, styles) that use the API from T-0067. Plain-language inputs only.</t>
  </si>
  <si>
    <t>All 23 remaining modals adopted useModalDialog: each backdrop and panel now spreads the hooks props, so every one has role=dialog, aria-modal, a real aria-labelledby (each modals own heading was given the generated id; the two full-bleed editors with a breadcrumb hero instead of a heading got an explicit title), focus moved in on open and restored on close, a Tab trap, Escape to close, and a backdrop click that only fires on the backdrop. The CSV importer and the import wizard keep their "not while writing" guard. DueTaskAlertModal was deliberately left alone — it is role=alertdialog with its own describedby and ref, which the hook would have overridden. 21 components; tests/ui/modalSemantics.test.mjs guards all of it (9 checks).</t>
  </si>
  <si>
    <t>T-0069</t>
  </si>
  <si>
    <t>Modals lack dialog semantics, focus trap and Esc — tests &amp; docs</t>
  </si>
  <si>
    <t>Add automated tests covering POL-002 (API and, where possible, UI), update README.md/Implementation_plan.md status, append CHANGELOG.md.</t>
  </si>
  <si>
    <t>T-0067, T-0068</t>
  </si>
  <si>
    <t>Tests and docs for POL-002, plus the part of it still outstanding: 27 icon-only buttons (✕ ✎ ↑ ↓ × across 10 components) gained an aria-label, reusing the title already written for a mouse user so the two never contradict each other. tests/ui/modalSemantics.test.mjs now has 11 guards covering modal wiring, labelling, the self-implemented exceptions, the do-not-dismiss-mid-import cases, every icon-only button and title/label agreement; 11 more in useModalDialog.test.mjs. CLAUDE.md gained the hook to its map and two Common Pitfalls, README lists the three new suites. 10 components, CLAUDE.md, README.md, tests/ui/modalSemantics.test.mjs.</t>
  </si>
  <si>
    <t>T-0070</t>
  </si>
  <si>
    <t>NEW-002</t>
  </si>
  <si>
    <t>v0.4</t>
  </si>
  <si>
    <t>Automation rules replacing dead webhooks — API/data layer</t>
  </si>
  <si>
    <t xml:space="preserve">Monday's automations ('when status changes to Done, notify owner / create next task / move to phase') are the main reason process-driven teams pick it. Task Monitor has the events but no rule engine.
Reproduction: n/a
Root cause: n/a
Fix: Cloud Function onWrite(tasks) evaluating workspace rules {trigger, condition, action} authored in a plain-language form (dropdowns), with actions: notify, assign, set phase, create follow-up task, send webhook.
Where to see it: Settings → Automations (new)
Risk of applying: High — New backend and schema. Recommendation: On-Hold.
Scope of this row: server-side changes only (routes, validation, database, spec). Leave the UI for the next row.</t>
  </si>
  <si>
    <t xml:space="preserve">1. Given a rule 'when task done → create follow-up'
2. When a task is completed
3. Then the follow-up task exists within 10 s</t>
  </si>
  <si>
    <t>src/services/firebase.js:1941-1978 · src/components/SettingsView.jsx:820-869</t>
  </si>
  <si>
    <t xml:space="preserve">Create rule, complete task, verify.
Run: npm test</t>
  </si>
  <si>
    <t>Automation rules, replacing the dead webhooks UI with something that runs: a rule is three plain-language choices (trigger, any number of ANDed conditions, one action) over vocabularies that read as English, evaluated by the pure functions/src/automations.js — which also turns a rule back into one sentence for the editor to preview, refuses to save an incomplete one with a sentence saying what is missing, and catches a rule that would set off its own trigger. The runner (functions/automations.js, onTaskAutomations) loads the workspace rules, performs update / create-follow-up / notify, marks its own writes so a rule can never loop, and logs every run with the sentence and what happened. Rules are admin-only to write and member-readable so nobody is surprised; the run log and notices are read-only from a browser. functions/{index,automations}.js, functions/src/automations.js(+test), firestore.rules, firestore.indexes.json, tests/rules/automations.rules.test.mjs; 28 tests added.</t>
  </si>
  <si>
    <t>Settings → Automations (new)</t>
  </si>
  <si>
    <t>T-0071</t>
  </si>
  <si>
    <t>Automation rules replacing dead webhooks — UI</t>
  </si>
  <si>
    <t xml:space="preserve">Monday's automations ('when status changes to Done, notify owner / create next task / move to phase') are the main reason process-driven teams pick it. Task Monitor has the events but no rule engine.
Reproduction: n/a
Root cause: n/a
Fix: Cloud Function onWrite(tasks) evaluating workspace rules {trigger, condition, action} authored in a plain-language form (dropdowns), with actions: notify, assign, set phase, create follow-up task, send webhook.
Where to see it: Settings → Automations (new)
Risk of applying: High — New backend and schema. Recommendation: On-Hold.
Scope of this row: client-side changes (pages, components, styles) that use the API from T-0070. Plain-language inputs only.</t>
  </si>
  <si>
    <t>Settings → Automations is now a working panel on top of the T-0070 API: a rule is built entirely from dropdowns (trigger, ANDed conditions, action) with every id shown as the name a person recognises, the rule read back as one English sentence that updates as you build it, and a save button that stays disabled with a plain sentence saying what is missing. Three ready-made starters prefill the editor on an empty workspace, the webhook action offers the connections you already have by name instead of an id, the run log shows what each rule did (subscribed only while open), and "Notices for you" surfaces what the Tell-someone action wrote so that action is not a dead end. The editor adopted useModalDialog, and a half-finished condition now reads "its project is not chosen yet" rather than a pair of empty quotes. Also fixed the Switch-to button in Settings → Workspaces, which threw on every click because setActiveWorkspaceId was never imported. Acceptance steps 2-3 (the follow-up appearing within 10 s) need npm run deploy:functions on the Blaze plan — the runner itself is T-0070 and covered by its 28 tests. src/components/AutomationsSection.jsx, src/components/SettingsView.jsx, src/services/firebase.js, src/App.css, functions/src/automations.js(+test), dev/automations.{html,jsx}, tests/ui/automations.test.mjs; 20 tests added.</t>
  </si>
  <si>
    <t>T-0072</t>
  </si>
  <si>
    <t>Automation rules replacing dead webhooks — tests &amp; docs</t>
  </si>
  <si>
    <t>Add automated tests covering NEW-002 (API and, where possible, UI), update README.md/Implementation_plan.md status, append CHANGELOG.md.</t>
  </si>
  <si>
    <t>T-0070, T-0071</t>
  </si>
  <si>
    <t>Tests and docs for NEW-002: 16 new tests in functions/src/automationFlow.test.mjs walk the acceptance path through the pure chain — taskEventsFor → rulesFor → planAction — proving that completing a task under a "create a follow-up" rule yields exactly one follow-up carrying the parent's workspace, project, phase and priority, that a switched-off rule or an unmet condition yields nothing, that finishing a task twice does not make a second one, and that the two loop guards hold; the last five hold the runner to performing that plan rather than deciding for itself. Docs: README gained an Automations section (the three-choice table, who may write rules, the run log, the notices, the no-runaway guards, and that nothing runs until deploy:functions), three test-table rows and the new dev harness row; CLAUDE.md gained the automations/automationRuns/notifications schemas, an Automations bullet in cross-cutting features, the component in the file map, the Settings view entry and three Common Pitfalls (never a second copy of the vocabulary, never an id on screen, never an action with nowhere to land). Full suite 815 pass; rules suite 74 pass. functions/src/automationFlow.test.mjs, README.md, CLAUDE.md, CHANGELOG.md.</t>
  </si>
  <si>
    <t>T-0073</t>
  </si>
  <si>
    <t>IMP-008</t>
  </si>
  <si>
    <t>Attachments uploaded by one member cannot be deleted by others</t>
  </si>
  <si>
    <t xml:space="preserve">Storage rules only allow users/{uid} paths for the uploader. Other workspace members open files via download tokens, but deleteUpload silently warns and the object stays; storage leaks when activities are deleted by admins.
Reproduction: Member A attaches a file; admin B deletes the activity: file remains in Storage.
Root cause: Path is per-user, not per-workspace.
Fix: Store under workspaces/{wsId}/{taskId}/ and gate rules on workspace membership via Firestore get(); clean up files in deleteActivity.
Where to see it: Log activity → Files &amp; links
Risk of applying: High — Storage path migration for existing files. Recommendation: On-Hold.
Files: storage.rules:10-12 · src/services/firebase.js:1585-1629 · src/components/FileUpload.jsx:45-48</t>
  </si>
  <si>
    <t xml:space="preserve">1. Given admin B deletes A's activity with a file
2. When done
3. Then the storage object is removed</t>
  </si>
  <si>
    <t>storage.rules:10-12 · src/services/firebase.js:1585-1629 · src/components/FileUpload.jsx:45-48</t>
  </si>
  <si>
    <t xml:space="preserve">Upload as A, delete as B, inspect the Storage bucket.
Run: npm test</t>
  </si>
  <si>
    <t>An attachment now belongs to the workspace, not to whoever uploaded it. Uploads go to workspaces/{workspaceId}/{taskId|general|logo}/… — built by the new pure src/services/uploadPaths.js, which refuses a path with no workspace and cannot be talked out of its folder by a hostile filename or task id — and storage.rules decides access by reading that workspace document, so any member can open, replace or delete the file; the old users/{uid}/ prefix is frozen legacy (its uploader can still read and delete, nothing new is written there, existing links keep working). Deleting an activity or a batch of them, and taking an attachment off while editing one, now delete the stored objects too — after the batch commits, so a file the bucket refuses cannot block the record from going. The workspace-logo upload moved into the workspace's own folder and is disabled with a plain sentence until the workspace exists. Verified against the real Storage emulator: 12 emulator cases including the finding itself (the owner deletes a file a member uploaded) and the four ways somebody outside the workspace is refused. Also serialized npm run test:rules — with singleProjectMode the emulator has one bucket, and running the files in parallel let one wipe another's fixtures. src/services/uploadPaths.js(+test), storage.rules, src/services/firebase.js, src/components/{FileUpload,ActivityLogger,ActivityEditor,WorkspaceEditor}.jsx, firebase.json, package.json, tests/rules/{harness,attachments.rules.test}.mjs, tests/ui/attachments.test.mjs, README.md, CLAUDE.md; 45 tests added (16 pure, 17 UI, 12 emulator).</t>
  </si>
  <si>
    <t>Log activity → Files &amp; links</t>
  </si>
  <si>
    <t>T-0074</t>
  </si>
  <si>
    <t>MISS-009</t>
  </si>
  <si>
    <t>Custom fields are invisible outside the task editor</t>
  </si>
  <si>
    <t xml:space="preserve">Projects can define custom fields, but values are not shown as Table columns, on cards, in Gantt, in CSV exports or as filters, so the feature cannot be used for reporting.
Reproduction: Add a select field Client to a project, set values, open Activity Log/Board: nothing shows.
Root cause: Only the editor reads customValues.
Fix: Render custom values on cards (chips), add dynamic columns in a tasks table export, and allow filtering by custom field in saved views.
Where to see it: Kanban; Activity Log; exports
Risk of applying: Low — Read-only rendering. Recommendation: Proceed.
Files: src/components/TaskEditor.jsx:995-1025 · src/components/ProjectsView.jsx:758-805 · src/components/TableView.jsx:13-24</t>
  </si>
  <si>
    <t xml:space="preserve">1. Given a project with a Client field
2. When the Board is filtered to it
3. Then cards show the Client chip and export includes the column</t>
  </si>
  <si>
    <t>src/components/TaskEditor.jsx:995-1025 · src/components/ProjectsView.jsx:758-805 · src/components/TableView.jsx:13-24</t>
  </si>
  <si>
    <t xml:space="preserve">Define fields, set values, check Board and export.
Run: npm test</t>
  </si>
  <si>
    <t>Custom fields now leave the task editor: the new pure src/services/customFields.js describes a project's own fields once — labels (two projects with a Client field are disambiguated by project name), values (a number sorts as a number, a blank sorts last and never becomes an empty chip), chips for a card and columns for a table — and every surface reads from it. Board cards show up to three "Client: Acme" chips under the tags; the Task table's column catalogue now merges the built-ins with one column per custom field, so a field can be ticked on, sorted (numbers numerically, right-aligned), grouped by when it is a select field, and saved in a view — a view whose field was since deleted still opens, just without that column; and every task export (Board, Gantt, Task table) appends the fields as columns to both the readable document and the spreadsheet. tableViews' functions all take the render context now so the catalogue is never a fixed list. src/services/customFields.js(+test), src/services/tableViews.js, src/services/taskExport.js, src/components/{Board,GanttView,TasksTableView}.jsx, src/App.css, tests/ui/{customFields,tasksTable}.test.mjs, README.md, CLAUDE.md; 36 tests added (18 pure, 18 integration). Lint count unchanged at 77 pre-existing problems.</t>
  </si>
  <si>
    <t>Kanban; Activity Log; exports</t>
  </si>
  <si>
    <t>T-0075</t>
  </si>
  <si>
    <t>NEW-004</t>
  </si>
  <si>
    <t>Mentions and a personal inbox — API/data layer</t>
  </si>
  <si>
    <t xml:space="preserve">Comments render @mentions as pills but nobody is notified. Notion's inbox and Monday's notifications make collaboration stick; without them comments and assignments go unseen.
Reproduction: n/a
Root cause: n/a
Fix: notifications collection written on mention/assign/comment; a topbar inbox with unread count and deep links; browser notification reuse.
Where to see it: Topbar inbox (new)
Risk of applying: Medium — New collection and rules. Recommendation: Proceed.
Scope of this row: server-side changes only (routes, validation, database, spec). Leave the UI for the next row.</t>
  </si>
  <si>
    <t xml:space="preserve">1. Given user A mentions B
2. When B opens the app
3. Then the inbox shows the mention and opens the task</t>
  </si>
  <si>
    <t>src/components/Markdown.jsx:46 · src/components/TaskEditor.jsx:1130-1214</t>
  </si>
  <si>
    <t xml:space="preserve">Mention a teammate; check their inbox.
Run: npm test</t>
  </si>
  <si>
    <t>Mentions and the inbox, data layer: the new pure src/services/mentions.js works out who a message is for (an @token resolves against a member's display name, first name or email local part; an email address in the text is not a mention; two people who would share a handle means exactly one is told, never the wrong two; the author never hears about their own message; somebody both mentioned and watching is told once, as a mention) and builds the whole sentence the inbox shows, so an old notice still reads correctly after the wording changes. firebase.js raises those notices where the message is written — addTaskComment takes the audience already on screen, notifyAssignment tells whoever was just put on a task — always after the write and with each notice's failure swallowed, so a notice that cannot be written never costs somebody their comment; markAllNotificationsRead clears the inbox in one batch. firestore.rules now lets a member create a notice, but only inside a workspace they belong to, only for a member of it, only from themselves, only unread, only kind mention/comment/assignment (automation stays the function's) and at most 300 characters. The automation runner's notice took the same shape so one inbox shows both. src/services/mentions.js(+test), src/services/firebase.js, firestore.rules, functions/automations.js, tests/rules/notifications.rules.test.mjs, tests/ui/inboxApi.test.mjs, README.md, CLAUDE.md; 44 tests added (22 pure, 10 data-layer, 12 emulator). UI is T-0076.</t>
  </si>
  <si>
    <t>Topbar inbox (new)</t>
  </si>
  <si>
    <t>T-0076</t>
  </si>
  <si>
    <t>Mentions and a personal inbox — UI</t>
  </si>
  <si>
    <t xml:space="preserve">Comments render @mentions as pills but nobody is notified. Notion's inbox and Monday's notifications make collaboration stick; without them comments and assignments go unseen.
Reproduction: n/a
Root cause: n/a
Fix: notifications collection written on mention/assign/comment; a topbar inbox with unread count and deep links; browser notification reuse.
Where to see it: Topbar inbox (new)
Risk of applying: Medium — New collection and rules. Recommendation: Proceed.
Scope of this row: client-side changes (pages, components, styles) that use the API from T-0075. Plain-language inputs only.</t>
  </si>
  <si>
    <t>The inbox, built on T-0075: a 📥 bell in the topbar with an unread count, and a panel (InboxPanel, split out so a dev harness can render it) listing every notice with its kind named in words — Mentioned you / New comment / Assigned to you / An automation ran — the sentence, and how long ago; opening a row goes to that task and marks it read, Mark all as read clears the rest, Escape and a click outside close it, and an empty inbox says what will land in it. Typing @ in a comment now opens a picker of the people in the workspace (arrow keys, Enter/Tab, Escape, role=listbox) — and it inserts a handle nobody else answers to, because offering @mia where there are two Mias would notify the first one whoever you clicked. Posting a comment hands addTaskComment the audience already on screen, and saving an assignment calls notifyAssignment, so both raise real notices. Navigating to a task moved into services/openTask.js and both the search results and the inbox use it. The duplicate Notices-for-you block was removed from Settings → Automations, which now points at the inbox. Verified end to end in Chrome via the new dev/inbox.html harness: choosing Mia inserted @mia, and posting raised a mention for Mia and a comment for the task's creator, nothing for the author. src/components/{InboxBell,InboxPanel,Markdown,TaskEditor,AppShell,Board,AutomationsSection}.jsx, src/hooks/useInbox.js, src/services/{openTask,mentions}.js, src/App.css, dev/inbox.{html,jsx}, tests/ui/{inbox,automations}.test.mjs, src/services/mentions.test.mjs, README.md, CLAUDE.md; 26 tests added. Lint unchanged at 77 pre-existing problems.</t>
  </si>
  <si>
    <t>T-0077</t>
  </si>
  <si>
    <t>Mentions and a personal inbox — tests &amp; docs</t>
  </si>
  <si>
    <t>Add automated tests covering NEW-004 (API and, where possible, UI), update README.md/Implementation_plan.md status, append CHANGELOG.md.</t>
  </si>
  <si>
    <t>T-0075, T-0076</t>
  </si>
  <si>
    <t>Tests and docs for NEW-004: the new tests/ui/inboxFlow.test.mjs walks the acceptance path in one file — A comments naming B, exactly one mention notice is produced for B with the sentence it will show, A hears nothing about their own message, the task's creator is told separately as a comment, the real InboxPanel renders B's notice as unread, clicking it asks for that task on that task's board, a listener shaped like the Board's opens the right task, and a read notice stops counting and stops offering Mark all as read — plus four guards that the README explains the feature (including that nothing is emailed), lists the three new suites and the harness, that CLAUDE.md carries the notifications schema and the three traps, and that the changelog records both halves. README also gained the Inbox and @mentions section in T-0076; this row added the flow suite to its table. tests/ui/inboxFlow.test.mjs, README.md, CHANGELOG.md; 11 tests added. Full suite 953 pass, rules suite 98 pass, lint unchanged at 77.</t>
  </si>
  <si>
    <t>T-0078</t>
  </si>
  <si>
    <t>NEW-005</t>
  </si>
  <si>
    <t>Workload planner by week — API/data layer</t>
  </si>
  <si>
    <t xml:space="preserve">The Dashboard shows team load for the current week; Monday's Workload view lets a manager see and drag tasks across people and weeks to rebalance before deadlines slip.
Reproduction: n/a
Root cause: n/a
Fix: Board → Workload: grid of members × next 6 weeks, cells sized by planned tasks/hours; drag a task to another week/person updates plan dates and assignedTo.
Where to see it: Board → Workload (new)
Risk of applying: Medium — Writes to tasks; reuse dnd-kit. Recommendation: Proceed.
Scope of this row: server-side changes only (routes, validation, database, spec). Leave the UI for the next row.</t>
  </si>
  <si>
    <t xml:space="preserve">1. Given an overloaded member
2. When a task is dragged to another member
3. Then assignedTo and plan.endDate update</t>
  </si>
  <si>
    <t>src/components/DashboardView.jsx:222-245</t>
  </si>
  <si>
    <t xml:space="preserve">Drag and verify in task editor.
Run: npm test</t>
  </si>
  <si>
    <t>Workload planner, data layer: the new pure src/services/workload.js builds the people × next-six-weeks grid — everybody in the workspace gets a row even with nothing on (a free person is exactly who a manager is looking for), an unassigned lane appears only when there is something in it and always sorts last, a task counts in the week its deadline falls in, a task on two people costs both of them, hours already logged come off what is left, a finished/deleted/archived task weighs nothing, a task with no due date is handed back as unscheduled rather than silently dropped, and one beyond the window is neither placed nor called unscheduled. Load is a word not a shade (free / room to spare / a full week / more than a full week), each with a sentence, and describeCell writes the whole thing out for a tooltip and a screen reader. moveTaskPlan turns a drop into a patch: another week keeps the weekday (a Friday deadline stays a Friday) and carries plan.startDate so a three-day task stays three days, another person replaces assignedTo, the unassigned lane clears it, and a drop that changes nothing returns null so no write happens — dotted paths, so plan.startDate is never wiped by a whole-object write. firebase.js gained applyTaskMove, which is the one place a move happens: the write, then the notice for whoever just inherited the task. src/services/workload.js(+test), src/services/firebase.js, tests/ui/workloadApi.test.mjs, README.md, CLAUDE.md; 37 tests added (30 pure, 7 data-layer). UI is T-0079.</t>
  </si>
  <si>
    <t>Board → Workload (new)</t>
  </si>
  <si>
    <t>T-0079</t>
  </si>
  <si>
    <t>Workload planner by week — UI</t>
  </si>
  <si>
    <t xml:space="preserve">The Dashboard shows team load for the current week; Monday's Workload view lets a manager see and drag tasks across people and weeks to rebalance before deadlines slip.
Reproduction: n/a
Root cause: n/a
Fix: Board → Workload: grid of members × next 6 weeks, cells sized by planned tasks/hours; drag a task to another week/person updates plan dates and assignedTo.
Where to see it: Board → Workload (new)
Risk of applying: Medium — Writes to tasks; reuse dnd-kit. Recommendation: Proceed.
Scope of this row: client-side changes (pages, components, styles) that use the API from T-0078. Plain-language inputs only.</t>
  </si>
  <si>
    <t>New Board → Workload page: people down the side, the next six weeks across the top, each cell showing the tasks planned to end that week, the hours they add up to, and how full that makes the person — coloured with the key printed in words beside it. Week navigation honours the week-start preference; a project filter narrows the whole grid; tasks with no due date are listed underneath with what to do about them rather than being left out; the grid is a real table with scope=col/row and every cell carrying its own sentence as title and aria-label, and it scrolls inside itself on a narrow screen. Dragging is dnd-kit: a chip is both the drag handle and the way into the task (an inner button would have made a chip that small undraggable), a ref stops the click at the end of a drag from also opening the editor, user-select is off so a drag does not select the words it is carrying, the drop target is is-drop-target rather than reusing the over-capacity is-over, and a drop goes through applyTaskMove so the person who just inherited the task is told. Verified in Chrome through the new dev/workload.html harness: dragging a task from an overloaded person to another dropped them from 50h (red) to 30h and wrote {plan.endDate, assignedTo}; dragging a two-day task three weeks out kept the weekday and the length ({plan.endDate: 2026-10-08, plan.startDate: 2026-10-06}). src/components/WorkloadView.jsx, src/services/workload.js, src/App.jsx, src/components/AppShell.jsx, src/App.css, dev/workload.{html,jsx}, tests/ui/workload.test.mjs, README.md, CLAUDE.md; 23 tests added. Lint unchanged at 77.</t>
  </si>
  <si>
    <t>T-0080</t>
  </si>
  <si>
    <t>Workload planner by week — tests &amp; docs</t>
  </si>
  <si>
    <t>Add automated tests covering NEW-005 (API and, where possible, UI), update README.md/Implementation_plan.md status, append CHANGELOG.md.</t>
  </si>
  <si>
    <t>T-0078, T-0079</t>
  </si>
  <si>
    <t>Tests and docs for NEW-005: the new tests/ui/workloadFlow.test.mjs walks the acceptance path — the grid shows Ace at 50h and marked over while Mia's week is free, the cell dropped on names both the person and the week, the patch is exactly {plan.endDate, assignedTo} (the acceptance line), and the grid rebuilt from the patched task shows Ace down to 20h/room-to-spare and Mia up to 38h/a-full-week, so the load really moved; plus a multi-day task keeping its weekday and its length, and the toast naming the person who now has it. Four docs guards cover the README's new Workload section (including the arithmetic a manager is trusting — four hours a task, forty a week), the three new suites and the harness, CLAUDE.md's module map entry and the two traps the row cost to find, and both changelog entries. tests/ui/workloadFlow.test.mjs, README.md, CHANGELOG.md; 10 tests added. Full suite 1023 pass, rules suite 98 pass, lint unchanged at 77.</t>
  </si>
  <si>
    <t>T-0081</t>
  </si>
  <si>
    <t>NEW-011</t>
  </si>
  <si>
    <t>Read-only share links for a board or Gantt — API/data layer</t>
  </si>
  <si>
    <t xml:space="preserve">Airtable share views and Monday's shareable boards let clients follow progress without an account; the invite-only gate blocks all external visibility today.
Reproduction: n/a
Root cause: n/a
Fix: Cloud Function that renders a snapshot (or a public read-only doc in sharedViews/{token}) for a project's Gantt/Board, expiring links, revocable from Sharing.
Where to see it: Project editor → Sharing
Risk of applying: High — Public data exposure; needs rules design. Recommendation: On-Hold.
Scope of this row: server-side changes only (routes, validation, database, spec). Leave the UI for the next row.</t>
  </si>
  <si>
    <t xml:space="preserve">1. Given a share link
2. When opened signed-out
3. Then the Gantt renders read-only</t>
  </si>
  <si>
    <t>src/components/GanttView.jsx · firestore.rules:130-148</t>
  </si>
  <si>
    <t xml:space="preserve">Open link in incognito.
Run: npm test</t>
  </si>
  <si>
    <t>Read-only share links, data layer. The design decision that makes this safe: a link holds a SNAPSHOT, never a window — sharedViews/{token} carries the rows it shows, so nothing in tasks, projects or workspaces opens up and a leaked token leaks one project's headline state and never grows into more. The new pure src/services/shareLinks.js (which imports nothing at all, so what leaves the workspace is testable) generates a 26-character token from crypto.getRandomValues, builds the snapshot from a written-down field list — id, title, status, priority, progress, start, end, phase — and nothing else, drops deleted/archived/other-project tasks, counts total/done/overdue so the public page needs no arithmetic, and says in a sentence exactly what the publisher is handing out. firestore.rules gained the app's only world-readable rule, written before the code: get only and never list (a token cannot be found by browsing), live only (revoked or expired is refused in the rules, not merely hidden by a page), create only by a workspace admin in their own name and never born dead, update unable to move a link to another workspace or another publisher. firebase.js gained create/refresh/revoke/setExpiry/delete/subscribe plus getSharedView, which returns null identically for missing, revoked and expired so the page cannot leak which. src/services/shareLinks.js(+test), firestore.rules, src/services/firebase.js, tests/rules/{harness,sharedViews.rules.test}.mjs, tests/ui/shareLinksApi.test.mjs, README.md, CLAUDE.md; 55 tests added (24 pure, 14 data-layer, 17 emulator) — including a guard that this stays the only 'allow ...: if true' in the whole rules file. UI is T-0082.</t>
  </si>
  <si>
    <t>Project editor → Sharing</t>
  </si>
  <si>
    <t>T-0082</t>
  </si>
  <si>
    <t>Read-only share links for a board or Gantt — UI</t>
  </si>
  <si>
    <t xml:space="preserve">Airtable share views and Monday's shareable boards let clients follow progress without an account; the invite-only gate blocks all external visibility today.
Reproduction: n/a
Root cause: n/a
Fix: Cloud Function that renders a snapshot (or a public read-only doc in sharedViews/{token}) for a project's Gantt/Board, expiring links, revocable from Sharing.
Where to see it: Project editor → Sharing
Risk of applying: High — Public data exposure; needs rules design. Recommendation: On-Hold.
Scope of this row: client-side changes (pages, components, styles) that use the API from T-0081. Plain-language inputs only.</t>
  </si>
  <si>
    <t>The sharing UI, on top of T-0081. Project editor → "Share with a client": pick board or timeline, pick how long (7/30/90 days or until you turn it off), and the confirm dialog spells out what you are about to hand out before the link exists — the tasks and their dates, never comments, attachments, hours or who is on what. Publishing copies the URL; every link then shows live/off, how long it has left and its own URL, with Copy, Refresh (a stale snapshot is fixable without issuing a new URL) and a danger-marked Turn off that says it takes effect straight away. An editor sees who can publish instead of a button that would fail. The public page is a new route rendered BEFORE the sign-in gate — asking a client to sign in is the one thing it must not do — split into SharedViewPage (fetches exactly one document) and SharedSnapshot (renders it, fetches nothing), the latter drawing either a three-column board or a timeline whose bars are laid out by the pure buildBars, with overdue in red, done in green and "No dates yet" rather than a bar that pretends. Missing, revoked and expired all say the same sentence, so a stranger cannot learn that a token was once real. Verified in Chrome: both forms render from a sample snapshot via the new dev/shared.html harness, and #/shared/&lt;token&gt; on the real app renders signed-out with no sign-in screen. NOTE: the sharedViews rule must be deployed (npm run deploy:rules) before the first real link will open. src/components/{SharedViewPage,SharedSnapshot,ShareLinksPanel,ProjectsView}.jsx, src/App.jsx, src/services/shareLinks.js, src/App.css, dev/shared.{html,jsx}, tests/ui/shareLinks.test.mjs, README.md, CLAUDE.md; 24 tests added. Lint unchanged at 77.</t>
  </si>
  <si>
    <t>T-0083</t>
  </si>
  <si>
    <t>Read-only share links for a board or Gantt — tests &amp; docs</t>
  </si>
  <si>
    <t>Add automated tests covering NEW-011 (API and, where possible, UI), update README.md/Implementation_plan.md status, append CHANGELOG.md.</t>
  </si>
  <si>
    <t>T-0081, T-0082</t>
  </si>
  <si>
    <t>Tests and docs for NEW-011: the new tests/ui/shareFlow.test.mjs walks the acceptance path with tasks deliberately carrying every private field the app has — assignees, an external contractor, requestedBy, logged hours, counters, tags, custom values, an internal description and an attachment link — and proves the published document contains none of them, the rendered page shows none of them, a deleted task and another project's task are not in it, the timeline renders both bars with the project name and counts, the page has no button, no input and no link anywhere in it (nothing to press, nothing to type, no way back into the app, no sign-in), it says it is a snapshot and when it was taken, the board form renders the same snapshot as three columns, and a revoked or expired link fails the same test the server applies. One test names the deliberate exception: the publisher's own name and id are the only identities that travel — the client is told who shared it and the rules need the id to stop a link being reassigned — and neither appears inside the snapshot itself. Four docs guards cover the README's Sharing section (including what it never shows, the deploy:rules prerequisite and the one-identity rule I added while writing this row), the new suites and harness, CLAUDE.md's schema and three pitfalls, and both changelog entries. tests/ui/shareFlow.test.mjs, README.md, CHANGELOG.md; 15 tests added. Full suite 1100 pass, rules suite 115 pass, lint unchanged at 77.</t>
  </si>
  <si>
    <t>T-0084</t>
  </si>
  <si>
    <t>NEW-012</t>
  </si>
  <si>
    <t>Scheduled recurrence instead of on-completion only</t>
  </si>
  <si>
    <t xml:space="preserve">Recurring tasks only spawn when the previous instance is marked done, so a missed weekly ritual never reappears. Monday/Notion recurring items generate on schedule.
Reproduction: n/a
Root cause: n/a
Fix: Cloud Scheduler function that daily materialises due instances from recurrence rules (idempotent by recurrenceParentId + date), falling back to the current client path.
Where to see it: Kanban
Risk of applying: High — Backend writes to tasks. Recommendation: On-Hold.
Files: src/services/firebase.js:958-983</t>
  </si>
  <si>
    <t xml:space="preserve">1. Given a weekly task never completed
2. When the next week arrives
3. Then a new instance exists</t>
  </si>
  <si>
    <t>src/services/firebase.js:958-983</t>
  </si>
  <si>
    <t xml:space="preserve">Emulate scheduler run.
Run: npm test</t>
  </si>
  <si>
    <t>Recurring tasks now come round on schedule, not only when the last one was ticked off — a weekly ritual nobody completed used to die at the first missed week. The new pure src/services/recurrenceSchedule.js groups tasks into series (keyed on recurrenceParentId, anchored on the instance scheduled furthest ahead), walks forward from where each series actually got to, and returns every occurrence that has become due and is missing, as payloads ready for addTask. Bounded on purpose: an occurrence appears on the day it is due and never early (HORIZON_DAYS 0 — a week-long horizon would put next week's copy beside this week's), nothing older than 30 days is created so a dormant series does not produce a year of overdue copies, at most 8 per series per run, and the walk that crosses the gap is capped so a decade-dormant daily series returns rather than looping. firebase.js gained materialiseRecurrences, which writes through addTask (never a hand-rolled document) and survives one series failing; useRecurrenceCatchUp runs it on load and hourly, once per day per device, retrying after a failure, reading the app-wide tasks subscription so it costs no extra query, and logging rather than interrupting. The on-completion path is untouched — this is a second way, and both key on recurrenceParentId + due date so they are safe together. DECISION FOR REVIEW: the audit's fix called for a Cloud Scheduler function; I ran it in the app instead (the audit's own stated fallback) to keep this a static front end with one narrow functions deployment. The honest limit, stated in the code and the README: a workspace nobody opens for a month catches up the next time somebody opens it, not before. Verified in Chrome through the new dev/recurrence.html harness: on the 20th the weekly one is correctly not due; on the 21st it appears with the 14th's instance still untouched at 'todo'; a week later the daily series catches up all seven missed days plus the weekly one, eight in total, inside the per-run cap. src/services/recurrenceSchedule.js(+test), src/services/firebase.js, src/hooks/useRecurrenceCatchUp.js, src/App.jsx, dev/recurrence.{html,jsx}, tests/ui/recurrenceCatchUp.test.mjs, README.md, CLAUDE.md; 40 tests added (22 pure, 18 integration). Full suite 1140 pass, rules 115 pass, lint unchanged at 77.</t>
  </si>
  <si>
    <t>T-0085</t>
  </si>
  <si>
    <t>BUG-012</t>
  </si>
  <si>
    <t>Timer widget swallows Escape for the whole app — API/data layer</t>
  </si>
  <si>
    <t xml:space="preserve">`useModalDialog` has no "is this modal actually open?" flag: its effect registers `document.addEventListener('keydown', onKey, true)` the moment the calling component mounts, and on Escape it calls `e.stopPropagation()` in the capture phase at document. `TimerWidget` calls the hook at line 12, before its `if (!running || !state) return null` at line 21, and AppShell renders `{timerWidget}` unconditionally — so the listener is installed for the entire life of the signed-in app whether or not a timer runs. A capture-phase stopPropagation at `document` kills the event before it ever reaches the target or bubbles back, so every Escape handler registered on `window` or on `document` in the bubble phase is dead: the ⌘K search dropdown (AppShell.jsx:478-483, on window), the tutorial tour (TutorialGuide.jsx:217-218, on window), the Export ▾ menu (ExportButton.jsx:31-33), the inbox panel (InboxBell.jsx:32-34), the Task-table column picker (TasksTableView.jsx:66-68) and — documented in CLAUDE.md as a feature — the due-task alert's "Esc = default snooze" (DueTaskAlertModal.jsx:195, 208). Dialog.jsx and other useModalDialog consumers still work because they are also on document-capture and stopPropagation does not stop same-node listeners.
Reproduction: Sign in as an approved user. Do not start a timer. Click the topbar search box so the ⌘K dropdown opens, then press Escape — the dropdown stays open. Open any page with an Export ▾ menu, open the menu, press Escape — it stays open. Turn due-task alerts on, wait for the alert, press Escape — nothing is snoozed.
Root cause: `useModalDialog` takes no `open` argument and its effect has no guard, so a component that renders its modal conditionally still installs the global key handler on mount. TimerWidget calls the hook above its own early return, and TimerWidget is always mounted by AppShell.
Fix: Add an `open` option to `useModalDialog` (default true) and make the effect a no-op — no listener, no focus move, no focus restore — when it is false. Pass `open={confirmOpen}` from TimerWidget, and audit the other call sites for the same pattern. Also guard the Escape branch on `ref.current` being mounted, and prefer `e.stopPropagation()` only when the dialog is genuinely on screen.
Where to see it: Whole app — topbar search, Export ▾ menus, inbox panel, due-task alert
Risk of applying: Medium — Touches a hook 23 modals already spread; an `open` flag defaulting to true keeps every existing call site behaving as it does today, but the modal-semantics guard suite must be re-run. Recommendation: Proceed.
Scope of this row: server-side changes only (routes, validation, database, spec). Leave the UI for the next row.</t>
  </si>
  <si>
    <t xml:space="preserve">1. Given a signed-in user with no timer running and the ⌘K search dropdown open
2. When they press Escape
3. Then the dropdown closes, and the same is true for the Export menu, the inbox panel, the Task-table column picker and the tutorial tour</t>
  </si>
  <si>
    <t>src/hooks/useModalDialog.js:55-61 · src/hooks/useModalDialog.js:83 · src/components/TimerWidget.jsx:12 · src/components/TimerWidget.jsx:21</t>
  </si>
  <si>
    <t xml:space="preserve">Add a jsdom test that mounts TimerWidget with no running timer plus a component with a window-level Escape handler, dispatches a keydown Escape on document, and asserts the window handler fired. Add a second test that mounts TimerWidget with the stop dialog open and asserts Escape closes only that dialog.
Run: npm test</t>
  </si>
  <si>
    <t>Whole app — topbar search, Export ▾ menus, inbox panel, due-task alert</t>
  </si>
  <si>
    <t>T-0086</t>
  </si>
  <si>
    <t>Timer widget swallows Escape for the whole app — UI</t>
  </si>
  <si>
    <t xml:space="preserve">`useModalDialog` has no "is this modal actually open?" flag: its effect registers `document.addEventListener('keydown', onKey, true)` the moment the calling component mounts, and on Escape it calls `e.stopPropagation()` in the capture phase at document. `TimerWidget` calls the hook at line 12, before its `if (!running || !state) return null` at line 21, and AppShell renders `{timerWidget}` unconditionally — so the listener is installed for the entire life of the signed-in app whether or not a timer runs. A capture-phase stopPropagation at `document` kills the event before it ever reaches the target or bubbles back, so every Escape handler registered on `window` or on `document` in the bubble phase is dead: the ⌘K search dropdown (AppShell.jsx:478-483, on window), the tutorial tour (TutorialGuide.jsx:217-218, on window), the Export ▾ menu (ExportButton.jsx:31-33), the inbox panel (InboxBell.jsx:32-34), the Task-table column picker (TasksTableView.jsx:66-68) and — documented in CLAUDE.md as a feature — the due-task alert's "Esc = default snooze" (DueTaskAlertModal.jsx:195, 208). Dialog.jsx and other useModalDialog consumers still work because they are also on document-capture and stopPropagation does not stop same-node listeners.
Reproduction: Sign in as an approved user. Do not start a timer. Click the topbar search box so the ⌘K dropdown opens, then press Escape — the dropdown stays open. Open any page with an Export ▾ menu, open the menu, press Escape — it stays open. Turn due-task alerts on, wait for the alert, press Escape — nothing is snoozed.
Root cause: `useModalDialog` takes no `open` argument and its effect has no guard, so a component that renders its modal conditionally still installs the global key handler on mount. TimerWidget calls the hook above its own early return, and TimerWidget is always mounted by AppShell.
Fix: Add an `open` option to `useModalDialog` (default true) and make the effect a no-op — no listener, no focus move, no focus restore — when it is false. Pass `open={confirmOpen}` from TimerWidget, and audit the other call sites for the same pattern. Also guard the Escape branch on `ref.current` being mounted, and prefer `e.stopPropagation()` only when the dialog is genuinely on screen.
Where to see it: Whole app — topbar search, Export ▾ menus, inbox panel, due-task alert
Risk of applying: Medium — Touches a hook 23 modals already spread; an `open` flag defaulting to true keeps every existing call site behaving as it does today, but the modal-semantics guard suite must be re-run. Recommendation: Proceed.
Scope of this row: client-side changes (pages, components, styles) that use the API from T-0085. Plain-language inputs only.</t>
  </si>
  <si>
    <t>T-0087</t>
  </si>
  <si>
    <t>Timer widget swallows Escape for the whole app — tests &amp; docs</t>
  </si>
  <si>
    <t>Add automated tests covering BUG-012 (API and, where possible, UI), update README.md/Implementation_plan.md status, append CHANGELOG.md.</t>
  </si>
  <si>
    <t>T-0085, T-0086</t>
  </si>
  <si>
    <t>T-0088</t>
  </si>
  <si>
    <t>BUG-013</t>
  </si>
  <si>
    <t>Recurring task done from the editor spawns no next instance</t>
  </si>
  <si>
    <t xml:space="preserve">`setTaskStatus` is the only path that calls `spawnNextRecurrence` (firebase.js:1174-1177). The Task editor's Save writes the status change with a raw `updateTask(task.id, updates)` at TaskEditor.jsx:321 and separately fires `emitTaskDone` for the confetti — it never goes through `setTaskStatus`. So a user who opens a recurring task, sets Status to Done and clicks Save gets the celebration and the actual-date stamps, but no next occurrence. Drag-drop on the Board and the status dropdown in TaskActivitiesModal both use `setTaskStatus` and do spawn it, so the behaviour depends on which button you happened to use. `useRecurrenceCatchUp` will eventually create the occurrence, but only on the day it becomes due (HORIZON_DAYS = 0), so the user sees nothing at the moment they completed it and the two paths disagree about what just happened.
Reproduction: Create a task, tick Recurring task → Weekly, save. Reopen it from the Board via Edit, change Status to Done, click Save changes. No second instance appears on the Board; do the same by dragging the card into Done and one does.
Root cause: The editor reimplements the status transition (actual-date stamping, progress) inline instead of delegating to `setTaskStatus`, and the recurrence spawn lives only inside `setTaskStatus`.
Fix: Extract the recurrence spawn into its own exported helper (`maybeSpawnRecurrence(task)`) and call it from TaskEditor's `save()` when `status === 'done' &amp;&amp; task.status !== 'done' &amp;&amp; task.recurrence`, right next to the existing `emitTaskDone`. Better still, have `save()` write the non-status fields with `updateTask` and route the status transition itself through `setTaskStatus`.
Where to see it: Task editor modal → footer → Save changes
Risk of applying: Medium — Changes write behaviour on the most-used save path; the idempotency guard in spawnNextRecurrence protects against duplicates, and the catch-up path already keys on the same pair. Recommendation: Proceed.
Files: src/components/TaskEditor.jsx:321 · src/components/TaskEditor.jsx:331 · src/services/firebase.js:1174-1177</t>
  </si>
  <si>
    <t xml:space="preserve">1. Given a weekly recurring task open in the task editor
2. When the user sets Status to Done and saves
3. Then exactly one next occurrence exists with shifted plan dates, reset subtasks and the same recurrenceParentId — and saving twice still produces only one</t>
  </si>
  <si>
    <t>src/components/TaskEditor.jsx:321 · src/components/TaskEditor.jsx:331 · src/services/firebase.js:1174-1177</t>
  </si>
  <si>
    <t xml:space="preserve">Extend the recurrence test suite with a case that drives the editor's save path against a fake Firestore and asserts one addTask call with the shifted dates, plus a second save asserting idempotency on recurrenceParentId + due date.
Run: npm test</t>
  </si>
  <si>
    <t>Task editor modal → footer → Save changes</t>
  </si>
  <si>
    <t>T-0089</t>
  </si>
  <si>
    <t>BUG-014</t>
  </si>
  <si>
    <t>Gantt draws an empty row for a task with only a due date — API/data layer</t>
  </si>
  <si>
    <t xml:space="preserve">`rows` admits any task that has any one of plan.startDate / plan.endDate / actual.startDate / actual.endDate (GanttView.jsx:125), but the plan bar is only rendered when BOTH `planLeft` and `planWidth` are non-null, and `planWidth` needs `liveStart &amp;&amp; liveEnd` (line 533). Quick-add writes `plan: { startDate: planStart || null, endDate: mergedPlanEnd }` (TaskForm.jsx:108-111) and the natural-language parser only ever sets an end date, so the overwhelmingly common task — "draft proposal next Friday" — has an end date and no start date. Those tasks get a row with a phase label, a title and a completely blank track. `startDrag` also bails on `if (!planStart || !planEnd) return` (line 589), so the row cannot be fixed by dragging either.
Reproduction: On the Board, quick-add "draft proposal next friday" (no start date). Open the Gantt page. The task appears as a row with its title but no bar anywhere on the timeline, and dragging does nothing.
Root cause: The bar geometry requires a start date, but the row filter and the app's dominant create path do not.
Fix: When `plan.startDate` is missing but `plan.endDate` is present, render a one-day milestone marker at the end date (a diamond or a single-day bar) and let a resize-left drag materialise a real start date. Apply the same fallback in `startDrag` so `origStartDay` defaults to the end day.
Where to see it: Gantt chart page
Risk of applying: Low — One component, render-only plus one drag branch; no schema change and no effect on stored data. Recommendation: Proceed.
Scope of this row: server-side changes only (routes, validation, database, spec). Leave the UI for the next row.</t>
  </si>
  <si>
    <t xml:space="preserve">1. Given a task with plan.endDate set and plan.startDate empty
2. When the Gantt page renders it
3. Then a single-day marker appears on its due date, and dragging its left edge sets a real plan.startDate</t>
  </si>
  <si>
    <t>src/components/GanttView.jsx:532-533 · src/components/GanttView.jsx:589 · src/components/GanttView.jsx:125 · src/components/TaskForm.jsx:108-111</t>
  </si>
  <si>
    <t xml:space="preserve">Render GanttView in the jsdom harness with one task carrying only plan.endDate and assert a bar element exists with a width of exactly one day column; then simulate a left-edge pointer drag and assert updateTask was called with a plan.startDate.
Run: npm test</t>
  </si>
  <si>
    <t>Gantt chart page</t>
  </si>
  <si>
    <t>T-0090</t>
  </si>
  <si>
    <t>Gantt draws an empty row for a task with only a due date — UI</t>
  </si>
  <si>
    <t xml:space="preserve">`rows` admits any task that has any one of plan.startDate / plan.endDate / actual.startDate / actual.endDate (GanttView.jsx:125), but the plan bar is only rendered when BOTH `planLeft` and `planWidth` are non-null, and `planWidth` needs `liveStart &amp;&amp; liveEnd` (line 533). Quick-add writes `plan: { startDate: planStart || null, endDate: mergedPlanEnd }` (TaskForm.jsx:108-111) and the natural-language parser only ever sets an end date, so the overwhelmingly common task — "draft proposal next Friday" — has an end date and no start date. Those tasks get a row with a phase label, a title and a completely blank track. `startDrag` also bails on `if (!planStart || !planEnd) return` (line 589), so the row cannot be fixed by dragging either.
Reproduction: On the Board, quick-add "draft proposal next friday" (no start date). Open the Gantt page. The task appears as a row with its title but no bar anywhere on the timeline, and dragging does nothing.
Root cause: The bar geometry requires a start date, but the row filter and the app's dominant create path do not.
Fix: When `plan.startDate` is missing but `plan.endDate` is present, render a one-day milestone marker at the end date (a diamond or a single-day bar) and let a resize-left drag materialise a real start date. Apply the same fallback in `startDrag` so `origStartDay` defaults to the end day.
Where to see it: Gantt chart page
Risk of applying: Low — One component, render-only plus one drag branch; no schema change and no effect on stored data. Recommendation: Proceed.
Scope of this row: client-side changes (pages, components, styles) that use the API from T-0089. Plain-language inputs only.</t>
  </si>
  <si>
    <t>T-0091</t>
  </si>
  <si>
    <t>Gantt draws an empty row for a task with only a due date — tests &amp; docs</t>
  </si>
  <si>
    <t>Add automated tests covering BUG-014 (API and, where possible, UI), update README.md/Implementation_plan.md status, append CHANGELOG.md.</t>
  </si>
  <si>
    <t>T-0089, T-0090</t>
  </si>
  <si>
    <t>T-0092</t>
  </si>
  <si>
    <t>BUG-015</t>
  </si>
  <si>
    <t>Imported Status column is mapped, previewed, then thrown away</t>
  </si>
  <si>
    <t xml:space="preserve">`IMPORT_KINDS.tasks.fields` includes `{ key: 'status', label: 'Status', aliases: ['status','state'], parse: normalizeStatus }` (csv.js:286), so the wizard's mapping step offers it, guesses it from a "Status" heading and shows it in the preview. But `writeOne` never passes `status` to `addTask` (ImportWizard.jsx:337-347), and `addTask` hardcodes `status: 'todo'` and `progress: 0` regardless of what it is given (firebase.js:1082-1083). Every imported task therefore lands in To Do, including the ones the file says are Done — and the preview told the user otherwise.
Reproduction: Activity Log → Import from spreadsheet → choose Tasks. Upload a CSV with a Status column containing "Done" and "In progress". Map Status. The preview shows the statuses; after importing, every task is on the To Do column.
Root cause: `addTask` is a fixed-shape factory that ignores status/progress/actual, and ImportWizard never attempted to pass them.
Fix: Let `addTask` accept an optional `status` (validated against todo/doing/done) and derive `progress` and `actual.endDate` the same way `setTaskStatus` does, then pass `status: record.status` from `writeOne`. Keep the default `'todo'` when nothing is supplied so recurrence spawning stays unchanged.
Where to see it: Activity Log page → Import from spreadsheet wizard → step 4
Risk of applying: Medium — Touches addTask, which every create path uses; the change must be additive with a 'todo' default or recurrence spawning and quick-add would start inheriting a status. Recommendation: Proceed.
Files: src/components/ImportWizard.jsx:337-347 · src/services/csv.js:286 · src/services/firebase.js:1082-1083</t>
  </si>
  <si>
    <t xml:space="preserve">1. Given a CSV whose Status column reads "Done" for one row
2. When that column is mapped and the import runs
3. Then the created task has status done, progress 100 and an actual end date, and the summary counts it as imported</t>
  </si>
  <si>
    <t>src/components/ImportWizard.jsx:337-347 · src/services/csv.js:286 · src/services/firebase.js:1082-1083</t>
  </si>
  <si>
    <t xml:space="preserve">Add a unit test for the import writer that feeds a record with status 'done' and asserts the addTask payload carries status/progress/actual; add a guard that every field listed in IMPORT_KINDS.tasks is present in the writeOne payload.
Run: npm test</t>
  </si>
  <si>
    <t>Activity Log page → Import from spreadsheet wizard → step 4</t>
  </si>
  <si>
    <t>T-0093</t>
  </si>
  <si>
    <t>BUG-016</t>
  </si>
  <si>
    <t>Command palette's 'Log an activity' leads nowhere</t>
  </si>
  <si>
    <t xml:space="preserve">`CREATE_ORDER` includes `'activity'` and the palette renders a "Log an activity" row (commandPalette.js:69-73). `runCommand` navigates to `work-performed` and fires `requestQuickCreate('activity', text)` 60 ms later (AppShell.jsx:565-572). `WorkPerformedView` never calls `useQuickCreate` — a repo-wide grep finds listeners only for 'task', 'project', 'minute' and 'goal'. The user lands on the Work Performed page and nothing opens. The page does have the right control to open (`setPickerOpen`, WorkPerformedView.jsx:41), it simply is not wired to the event.
Reproduction: Press ⌘K, type "log hours", press Enter on the "Log an activity" row. The app navigates to Work Performed and no create flow opens.
Root cause: The palette's create vocabulary and the pages' listeners are two separate lists; nothing fails the build when an entity has no receiver.
Fix: Add `useQuickCreate('activity', useCallback(() =&gt; setPickerOpen(true), []))` to WorkPerformedView. Then add a test guard that asserts every entity in `CREATE_ORDER` has a matching `useQuickCreate(&lt;entity&gt;` call somewhere in src/components, so a new command can never ship without a receiver.
Where to see it: Command palette (⌘K) → Actions → Log an activity
Risk of applying: Low — One added hook call plus a static guard; no data or contract change. Recommendation: Proceed.
Files: src/services/commandPalette.js:69-73 · src/components/AppShell.jsx:564-572 · src/components/WorkPerformedView.jsx:41</t>
  </si>
  <si>
    <t xml:space="preserve">1. Given the user types "log hours" in ⌘K
2. When they run the "Log an activity" command
3. Then the Work Performed page opens with its task picker already showing</t>
  </si>
  <si>
    <t>src/services/commandPalette.js:69-73 · src/components/AppShell.jsx:564-572 · src/components/WorkPerformedView.jsx:41</t>
  </si>
  <si>
    <t xml:space="preserve">Extend tests/ui/commandPalette.test.mjs with a repo-wide guard over CREATE_ORDER and a DOM test that fires the quick-create event and asserts WorkPerformedView opened its picker.
Run: npm test</t>
  </si>
  <si>
    <t>Command palette (⌘K) → Actions → Log an activity</t>
  </si>
  <si>
    <t>T-0094</t>
  </si>
  <si>
    <t>BUG-020</t>
  </si>
  <si>
    <t>Raw AI error text is rendered straight to the user — API/data layer</t>
  </si>
  <si>
    <t xml:space="preserve">DashboardView catches an AI failure with `setAiError(err.message || String(err))` (:301) and renders `&lt;p className="auth-error-msg"&gt;{aiError}&lt;/p&gt;` (:429). AiHelper does the same twice (`setError(err?.message || 'Could not get suggestions.')` at :49, rendered at :97; and per-prompt at :69/:122). The messages these produce are written for a developer — ai.js:463-466 throws "The Claude Code bridge is not reachable (…). Start it with `npm run bridge`, or switch the provider in Settings → AI brain", and callApi throws "AI API error 429: {…raw upstream body…}" (ai.js:354). Neither passes through `friendlyError`, which the codebase mandates and which the toast guard enforces — but these are inline elements, not toasts, so the guard misses them.
Reproduction: With the AI bridge selected in Settings and not running, open the Dashboard and click "Plan my day with AI". The red card reads: The Claude Code bridge is not reachable (…). Start it with `npm run bridge`…
Root cause: Inline error rendering bypassed the `friendlyError` convention, and the copy guard only inspects toast call sites.
Fix: Wrap both call sites in `friendlyError(err, 'AI could not answer just now. Try again in a moment.')`, and extend tests/ui/copy.test.mjs to also flag `setError(err`/`setAiError(err` patterns, not just toasts. Separately, give ai.js's bridge-unreachable error an operator-only detail field so the shell command is available in the console but never on screen.
Where to see it: Dashboard → Plan my day with AI · Topbar AI bulb → Stuck? modal
Risk of applying: Low — Two components and one test guard; no change to the AI call path itself. Recommendation: Proceed.
Scope of this row: server-side changes only (routes, validation, database, spec). Leave the UI for the next row.</t>
  </si>
  <si>
    <t xml:space="preserve">1. Given the AI provider is unreachable
2. When the user clicks Plan my day with AI
3. Then the message on screen is one plain sentence with no shell command, URL, status code or provider internals</t>
  </si>
  <si>
    <t>src/components/DashboardView.jsx:299-304 · src/components/DashboardView.jsx:427-431 · src/components/AiHelper.jsx:47-52 · src/components/AiHelper.jsx:97 · src/services/ai.js:463-466</t>
  </si>
  <si>
    <t xml:space="preserve">Add a DOM test that stubs suggestNextTask to reject with the bridge-unreachable error and asserts the rendered text contains no backtick, no 'npm', and no 'http'.
Run: npm test</t>
  </si>
  <si>
    <t>Dashboard → Plan my day with AI · Topbar AI bulb → Stuck? modal</t>
  </si>
  <si>
    <t>T-0095</t>
  </si>
  <si>
    <t>Raw AI error text is rendered straight to the user — UI</t>
  </si>
  <si>
    <t xml:space="preserve">DashboardView catches an AI failure with `setAiError(err.message || String(err))` (:301) and renders `&lt;p className="auth-error-msg"&gt;{aiError}&lt;/p&gt;` (:429). AiHelper does the same twice (`setError(err?.message || 'Could not get suggestions.')` at :49, rendered at :97; and per-prompt at :69/:122). The messages these produce are written for a developer — ai.js:463-466 throws "The Claude Code bridge is not reachable (…). Start it with `npm run bridge`, or switch the provider in Settings → AI brain", and callApi throws "AI API error 429: {…raw upstream body…}" (ai.js:354). Neither passes through `friendlyError`, which the codebase mandates and which the toast guard enforces — but these are inline elements, not toasts, so the guard misses them.
Reproduction: With the AI bridge selected in Settings and not running, open the Dashboard and click "Plan my day with AI". The red card reads: The Claude Code bridge is not reachable (…). Start it with `npm run bridge`…
Root cause: Inline error rendering bypassed the `friendlyError` convention, and the copy guard only inspects toast call sites.
Fix: Wrap both call sites in `friendlyError(err, 'AI could not answer just now. Try again in a moment.')`, and extend tests/ui/copy.test.mjs to also flag `setError(err`/`setAiError(err` patterns, not just toasts. Separately, give ai.js's bridge-unreachable error an operator-only detail field so the shell command is available in the console but never on screen.
Where to see it: Dashboard → Plan my day with AI · Topbar AI bulb → Stuck? modal
Risk of applying: Low — Two components and one test guard; no change to the AI call path itself. Recommendation: Proceed.
Scope of this row: client-side changes (pages, components, styles) that use the API from T-0094. Plain-language inputs only.</t>
  </si>
  <si>
    <t>T-0096</t>
  </si>
  <si>
    <t>Raw AI error text is rendered straight to the user — tests &amp; docs</t>
  </si>
  <si>
    <t>Add automated tests covering BUG-020 (API and, where possible, UI), update README.md/Implementation_plan.md status, append CHANGELOG.md.</t>
  </si>
  <si>
    <t>T-0094, T-0095</t>
  </si>
  <si>
    <t>T-0097</t>
  </si>
  <si>
    <t>BUG-023</t>
  </si>
  <si>
    <t>Automations show 'on' with no sign the runner is live</t>
  </si>
  <si>
    <t xml:space="preserve">`AutomationsSection` lets an admin build a rule, save it, and shows it with a green `on` badge and the sentence it will supposedly perform. But the thing that actually performs it is `onTaskAutomations` in `functions/automations.js`, which only exists once `npm run deploy:functions` has been run against a Blaze-plan project (CLAUDE.md records this; task-status T-0071 records the same caveat for the acceptance steps). Nothing in the panel checks whether the Cloud Function is deployed or when a run last happened — the run log simply shows "no runs" for a workspace whose runner was never deployed, which is indistinguishable from a workspace where nothing has triggered yet. The identical problem applies to Webhooks, whose delivery triggers live in the same codebase. This is the standing requirement "every succeeding action must work end-to-end" turned inside out: the save succeeds, and the rule never fires.
Reproduction: On a deployment where functions have not been deployed, open Settings → Automations, save a rule ("when a task is completed, create a follow-up"), mark a task done. No follow-up appears, no run is logged, and the rule still reads 'on'. Cannot be fully confirmed from the code alone — it depends on whether functions/ is deployed to this project, which needs the Firebase console.
Root cause: The rule store (Firestore) and the rule runner (Cloud Functions) are deployed separately, and the UI reflects only the store.
Fix: Have the runner write a heartbeat document (e.g. `automationRuns` with a `kind: 'heartbeat'`, or a `workspaces/{id}.automationRunnerSeenAt` stamp on every invocation) and show a banner in the panel when nothing has been seen: "Rules are saved but the part that runs them is not switched on for this deployment — ask your administrator." Do the same for Webhooks using the existing `webhookDeliveries` log.
Where to see it: Settings → Automations · Settings → Webhooks
Risk of applying: High — Adds a write from the Cloud Function and a read path plus a firestore.rules change; unverifiable without the deployed project, so the human should confirm the current deployment state first. Recommendation: On-Hold.
Files: src/components/AutomationsSection.jsx:154-200 · src/components/SettingsView.jsx:499 · functions/automations.js</t>
  </si>
  <si>
    <t xml:space="preserve">1. Given the automation runner has never reported in for this project
2. When an admin opens Settings → Automations
3. Then a plain-language banner says rules are stored but not running yet, and the rule rows are marked accordingly rather than showing a bare 'on'</t>
  </si>
  <si>
    <t>src/components/AutomationsSection.jsx:154-200 · src/components/SettingsView.jsx:499 · functions/automations.js</t>
  </si>
  <si>
    <t xml:space="preserve">Add a DOM test that renders AutomationsSection with no heartbeat and asserts the banner is present, and one with a recent heartbeat asserting it is absent. Add a rules test that a browser cannot forge the heartbeat.
Run: npm test</t>
  </si>
  <si>
    <t>Settings → Automations · Settings → Webhooks</t>
  </si>
  <si>
    <t>On-Hold</t>
  </si>
  <si>
    <t>T-0098</t>
  </si>
  <si>
    <t>BUG-024</t>
  </si>
  <si>
    <t>Modal focus is stolen on every parent re-render</t>
  </si>
  <si>
    <t xml:space="preserve">`useModalDialog`'s effect lists `[onClose, closeOnEscape, autoFocus]` as dependencies and, on every run, moves focus to the first focusable control inside the dialog and re-records `restoreTo`. Most call sites pass a freshly-created arrow as `onClose` — for example Board renders `&lt;ActivityLogger task={loggingTask} userId={userId} onClose={() =&gt; setLoggingTask(null)} /&gt;` (Board.jsx:320) — so the identity changes on every render of the *parent*. Board re-renders whenever the workspace tasks listener fires, which happens on any teammate's edit, any counter bump, and the user's own timer. Each of those re-runs the effect and yanks the caret back to the first field of the open modal.
Reproduction: Open a task's Log activity modal from the Board and start typing in the bottleneck field. From a second browser window signed in as another workspace member, edit any task. The first window's caret jumps back to the modal's first control. Needs two live sessions to observe.
Root cause: The focus-on-open behaviour lives in the same effect as the listener registration, and that effect is keyed on a callback identity the call sites do not stabilise.
Fix: Keep `onClose` in a ref (`const onCloseRef = useRef(onClose); onCloseRef.current = onClose;`) and give the effect an empty (or `[open]`) dependency list, so focus is moved exactly once when the dialog opens. DueTaskAlertModal already uses this ref pattern deliberately ("runs once per task and never steals focus back to Snooze mid-edit", DueTaskAlertModal.jsx:183-188) — the shared hook should match it.
Where to see it: Every modal — task editor, activity logger, project editor, import wizard
Risk of applying: Medium — Shared by 23 modals; the existing modal-semantics suite covers the wiring and must pass unchanged, and the Escape handler must keep reading the latest onClose through the ref. Recommendation: Proceed.
Files: src/hooks/useModalDialog.js:46-53 · src/hooks/useModalDialog.js:89 · src/components/Board.jsx:320</t>
  </si>
  <si>
    <t xml:space="preserve">1. Given a modal is open and the user's caret is in its third field
2. When the parent component re-renders with a new onClose identity
3. Then focus stays where the user put it and no scroll or selection jump occurs</t>
  </si>
  <si>
    <t>src/hooks/useModalDialog.js:46-53 · src/hooks/useModalDialog.js:89 · src/components/Board.jsx:320</t>
  </si>
  <si>
    <t xml:space="preserve">Add a test to tests/ui/useModalDialog.test.mjs that mounts a modal, focuses the last input, re-renders with a new onClose function and asserts document.activeElement is unchanged.
Run: npm test</t>
  </si>
  <si>
    <t>Every modal — task editor, activity logger, project editor, import wizard</t>
  </si>
  <si>
    <t>T-0099</t>
  </si>
  <si>
    <t>BUG-017</t>
  </si>
  <si>
    <t>Quick create drops the name for project, minutes and goal — API/data layer</t>
  </si>
  <si>
    <t xml:space="preserve">`useQuickCreate` is documented as "open your create flow, prefilled" and passes `e.detail.text` to the callback (useQuickCreate.js:16-24). Only the Board uses it: `useQuickCreate('task', useCallback((text) =&gt; setQuickAddSeed({ text, at: Date.now() }), []))`. ProjectsView (:61), MinutesView (:67) and GoalsView (:59) all declare `useCallback(() =&gt; setEditing('new'), [])` — a zero-argument callback that discards the text. So "new project Website revamp" previews the name in the palette hint (`hint = "Website revamp"`, commandPalette.js:96) and then opens a blank editor. The user has to retype what they just typed.
Reproduction: Press ⌘K, type "new project Website revamp". The row reads New project · “Website revamp”. Press Enter — the project editor opens with an empty name field.
Root cause: Each page's listener ignores the callback's argument; the hook has no way to enforce that it is used.
Fix: Change each callback to `(text) =&gt; setEditing({ __new: true, name: text })` (or hold the seed in state beside `editing`) and have ProjectEditor / the minutes editor / the goal editor take an `initialName` prop that seeds its name/title field. The Board's `seed` pattern in TaskForm.jsx:64-69 is the model to copy.
Where to see it: Command palette (⌘K) → New project / New meeting minutes / New goal
Risk of applying: Low — Three components plus a prop on each editor; purely additive to the create forms. Recommendation: Proceed.
Scope of this row: server-side changes only (routes, validation, database, spec). Leave the UI for the next row.</t>
  </si>
  <si>
    <t xml:space="preserve">1. Given the user runs "new project Website revamp" from ⌘K
2. When the project editor opens
3. Then its name field already reads "Website revamp" and the user can save immediately</t>
  </si>
  <si>
    <t>src/components/ProjectsView.jsx:61 · src/components/MinutesView.jsx:67 · src/components/GoalsView.jsx:59 · src/hooks/useQuickCreate.js:16-24</t>
  </si>
  <si>
    <t xml:space="preserve">In tests/ui/commandPalette.test.mjs, fire the quick-create event with text for each of project/minute/goal and assert the rendered editor's name input holds that text.
Run: npm test</t>
  </si>
  <si>
    <t>Command palette (⌘K) → New project / New meeting minutes / New goal</t>
  </si>
  <si>
    <t>T-0100</t>
  </si>
  <si>
    <t>Quick create drops the name for project, minutes and goal — UI</t>
  </si>
  <si>
    <t xml:space="preserve">`useQuickCreate` is documented as "open your create flow, prefilled" and passes `e.detail.text` to the callback (useQuickCreate.js:16-24). Only the Board uses it: `useQuickCreate('task', useCallback((text) =&gt; setQuickAddSeed({ text, at: Date.now() }), []))`. ProjectsView (:61), MinutesView (:67) and GoalsView (:59) all declare `useCallback(() =&gt; setEditing('new'), [])` — a zero-argument callback that discards the text. So "new project Website revamp" previews the name in the palette hint (`hint = "Website revamp"`, commandPalette.js:96) and then opens a blank editor. The user has to retype what they just typed.
Reproduction: Press ⌘K, type "new project Website revamp". The row reads New project · “Website revamp”. Press Enter — the project editor opens with an empty name field.
Root cause: Each page's listener ignores the callback's argument; the hook has no way to enforce that it is used.
Fix: Change each callback to `(text) =&gt; setEditing({ __new: true, name: text })` (or hold the seed in state beside `editing`) and have ProjectEditor / the minutes editor / the goal editor take an `initialName` prop that seeds its name/title field. The Board's `seed` pattern in TaskForm.jsx:64-69 is the model to copy.
Where to see it: Command palette (⌘K) → New project / New meeting minutes / New goal
Risk of applying: Low — Three components plus a prop on each editor; purely additive to the create forms. Recommendation: Proceed.
Scope of this row: client-side changes (pages, components, styles) that use the API from T-0099. Plain-language inputs only.</t>
  </si>
  <si>
    <t>T-0101</t>
  </si>
  <si>
    <t>Quick create drops the name for project, minutes and goal — tests &amp; docs</t>
  </si>
  <si>
    <t>Add automated tests covering BUG-017 (API and, where possible, UI), update README.md/Implementation_plan.md status, append CHANGELOG.md.</t>
  </si>
  <si>
    <t>T-0099, T-0100</t>
  </si>
  <si>
    <t>T-0102</t>
  </si>
  <si>
    <t>BUG-018</t>
  </si>
  <si>
    <t>Saved view's tag filter is ignored by Gantt and Activity Log — API/data layer</t>
  </si>
  <si>
    <t xml:space="preserve">App.jsx passes `initialTagFilter={route.tagFilter}` to TableView (:209) and GanttView (:211), but neither component declares the prop: `export default function GanttView({ projectFilter })` and `export default function TableView({ projectFilter })`. A grep for `tagFilter` in TableView.jsx returns nothing. Board and CalendarView do accept it. So a user who filters the Board to `#client`, saves the view, then opens that saved view while it points at Gantt or the Activity Log sees every task — the sidebar entry's tooltip still advertises the tag it is supposedly filtering by (AppShell.jsx:357).
Reproduction: On the Board, pick a tag chip, click ★ Save view, name it. Edit the saved view's URL hash to `#/gantt/all?tag=client&amp;saved=&lt;id&gt;` (or save the view while on Gantt). The Gantt shows every task, not just the tagged ones.
Root cause: The prop contract is one-sided — App passes it, the components never declared it, and nothing fails when a prop is unused.
Fix: Accept `initialTagFilter` in GanttView and TableView and apply it in the same pattern Board uses (local state synced by `useEffect` on the prop, plus a visible, clearable chip so the user can see the filter is on). Alternatively hide the tag chip from saved-view tooltips on views that cannot honour it — but filtering is the better answer.
Where to see it: Sidebar → Saved views → a view pointing at Gantt or Activity Log
Risk of applying: Low — Two components, render-only filtering; no stored-data impact. Recommendation: Proceed.
Scope of this row: server-side changes only (routes, validation, database, spec). Leave the UI for the next row.</t>
  </si>
  <si>
    <t xml:space="preserve">1. Given a saved view with tagFilter=client pointing at the Gantt page
2. When the user opens it from the sidebar
3. Then only tasks carrying #client are on the chart and a clearable "#client" chip is visible</t>
  </si>
  <si>
    <t>src/App.jsx:209 · src/App.jsx:211 · src/components/GanttView.jsx:77 · src/components/TableView.jsx:36</t>
  </si>
  <si>
    <t xml:space="preserve">Render GanttView and TableView with initialTagFilter set and two tasks/activities, one tagged, and assert only the tagged one is in the DOM.
Run: npm test</t>
  </si>
  <si>
    <t>Sidebar → Saved views → a view pointing at Gantt or Activity Log</t>
  </si>
  <si>
    <t>T-0103</t>
  </si>
  <si>
    <t>Saved view's tag filter is ignored by Gantt and Activity Log — UI</t>
  </si>
  <si>
    <t xml:space="preserve">App.jsx passes `initialTagFilter={route.tagFilter}` to TableView (:209) and GanttView (:211), but neither component declares the prop: `export default function GanttView({ projectFilter })` and `export default function TableView({ projectFilter })`. A grep for `tagFilter` in TableView.jsx returns nothing. Board and CalendarView do accept it. So a user who filters the Board to `#client`, saves the view, then opens that saved view while it points at Gantt or the Activity Log sees every task — the sidebar entry's tooltip still advertises the tag it is supposedly filtering by (AppShell.jsx:357).
Reproduction: On the Board, pick a tag chip, click ★ Save view, name it. Edit the saved view's URL hash to `#/gantt/all?tag=client&amp;saved=&lt;id&gt;` (or save the view while on Gantt). The Gantt shows every task, not just the tagged ones.
Root cause: The prop contract is one-sided — App passes it, the components never declared it, and nothing fails when a prop is unused.
Fix: Accept `initialTagFilter` in GanttView and TableView and apply it in the same pattern Board uses (local state synced by `useEffect` on the prop, plus a visible, clearable chip so the user can see the filter is on). Alternatively hide the tag chip from saved-view tooltips on views that cannot honour it — but filtering is the better answer.
Where to see it: Sidebar → Saved views → a view pointing at Gantt or Activity Log
Risk of applying: Low — Two components, render-only filtering; no stored-data impact. Recommendation: Proceed.
Scope of this row: client-side changes (pages, components, styles) that use the API from T-0102. Plain-language inputs only.</t>
  </si>
  <si>
    <t>T-0104</t>
  </si>
  <si>
    <t>Saved view's tag filter is ignored by Gantt and Activity Log — tests &amp; docs</t>
  </si>
  <si>
    <t>Add automated tests covering BUG-018 (API and, where possible, UI), update README.md/Implementation_plan.md status, append CHANGELOG.md.</t>
  </si>
  <si>
    <t>T-0102, T-0103</t>
  </si>
  <si>
    <t>T-0105</t>
  </si>
  <si>
    <t>BUG-019</t>
  </si>
  <si>
    <t>Notification test reports success as an error, with a debug trail</t>
  </si>
  <si>
    <t xml:space="preserve">`handleTestNotification` builds a `log` array of internal diagnostics — "SW ready: scope=…", "getRegistration threw: …", "reg.showNotification() resolved" — and every outcome, success included, is delivered through `const tellUser = (msg) =&gt; toast.error(msg + '\n\n— Diagnostic trail —\n' + log.join('\n'))`. So the happy path shows a red, `role="alert"` toast reading "Test notification dispatched" followed by service-worker internals. That contradicts the project's own rule that error copy goes through `friendlyError` and that a user is never shown a config key or internals; `tests/ui/copy.test.mjs` does not catch it because the strings are assembled at runtime.
Reproduction: Settings → Notifications → grant permission → click "Send test notification". A red toast appears saying it was dispatched, followed by lines such as "SW ready: scope=/".
Root cause: One helper is used for both outcomes and the developer-facing diagnostic trail was never separated from the user-facing sentence.
Fix: Split it: `toast.success('Test notification sent. If you did not see it, check your operating system's notification settings for this browser.')` on the sent path, `toast.error(friendlyError(...))` on the failure paths, and `console.debug(log)` for the trail. Keep the macOS/Focus hint as a short sentence under the permission badge rather than inside the toast.
Where to see it: Settings → Notifications → Send test notification
Risk of applying: Low — Single handler in one component; no behaviour change to the notification itself. Recommendation: Proceed.
Files: src/components/SettingsView.jsx:143 · src/components/SettingsView.jsx:236-249 · src/components/SettingsView.jsx:181-198</t>
  </si>
  <si>
    <t xml:space="preserve">1. Given notification permission is granted
2. When the user clicks Send test notification and it dispatches
3. Then a green confirmation toast appears with one plain sentence and no technical trail</t>
  </si>
  <si>
    <t>src/components/SettingsView.jsx:143 · src/components/SettingsView.jsx:236-249 · src/components/SettingsView.jsx:181-198</t>
  </si>
  <si>
    <t xml:space="preserve">Extend tests/ui/copy.test.mjs with a guard that no toast string in src/components contains 'Diagnostic' or 'scope=', and add a DOM test that the success path calls toast.success.
Run: npm test</t>
  </si>
  <si>
    <t>Settings → Notifications → Send test notification</t>
  </si>
  <si>
    <t>T-0106</t>
  </si>
  <si>
    <t>BUG-021</t>
  </si>
  <si>
    <t>Account page tells users to share an ID nobody can use</t>
  </si>
  <si>
    <t xml:space="preserve">The Account section shows every signed-in user a read-only "Your Account ID" box with a copy button and the instruction "Share this ID with a workspace owner so they can add you as a member" (SettingsView.jsx:328-344). But the only control that consumes a raw ID — "Add by Account ID (advanced)" in the workspace members modal — is wrapped in `{isSuperadmin &amp;&amp; (...)}` (SettingsView.jsx:1374-1394). An ordinary workspace owner has no such field; their only option is "Invite someone by email". So the instruction sends the user down a path that does not exist, and it directly contradicts the project's own rule: "❌ Asking anyone for a Firebase UID. Invite by email… The Account ID box is superadmin-only and behind an Advanced toggle."
Reproduction: Sign in as a non-superadmin, open Settings → Account. Copy the Account ID as instructed. Now sign in as a non-superadmin workspace owner and open Settings → Workspaces → Members: there is no Account ID field to paste into.
Root cause: The invite-by-email work (T-0040/T-0041) moved the consuming control behind a superadmin toggle but left this producing control and its copy in the Account section untouched.
Fix: Put the Account ID box behind the same `isSuperadmin` gate (or a "Technical details" `&lt;details&gt;` for everyone, with no instruction attached), and replace the sentence with "Ask a workspace owner to invite the email address above — the invitation is waiting when you next sign in." Extend tests/ui/copy.test.mjs with a guard that no screen instructs a user to share an account ID.
Where to see it: Settings → Account
Risk of applying: Low — Copy and one conditional in a single component; no data or permission change. Recommendation: Proceed.
Files: src/components/SettingsView.jsx:328-344 · src/components/SettingsView.jsx:1374-1394 · CLAUDE.md:453</t>
  </si>
  <si>
    <t xml:space="preserve">1. Given a non-superadmin user opens Settings → Account
2. When they read how to join a workspace
3. Then they are told to have their email address invited, and no raw account ID is presented as the way in</t>
  </si>
  <si>
    <t>src/components/SettingsView.jsx:328-344 · src/components/SettingsView.jsx:1374-1394 · CLAUDE.md:453</t>
  </si>
  <si>
    <t xml:space="preserve">Render SettingsView with a non-superadmin profile and assert the string 'Share this ID' is absent; render with a superadmin profile and assert the advanced box still exists.
Run: npm test</t>
  </si>
  <si>
    <t>Settings → Account</t>
  </si>
  <si>
    <t>T-0107</t>
  </si>
  <si>
    <t>BUG-022</t>
  </si>
  <si>
    <t>Due-alert switch says off while OS notifications keep firing</t>
  </si>
  <si>
    <t xml:space="preserve">`DueAlertBell` is presented as the on/off switch "for the whole feature" — `role="switch"`, `aria-label` reading "Due-task alerts off — click to turn on" — and toggling it writes `settings.dueAlerts.enabled`. `useOverdueScan` reads `prefs.leadDays`, `snoozes` and `skips` from the same settings object but never checks `prefs.enabled`, so the browser-notification scan keeps running and firing every five minutes with the switch off. CLAUDE.md records this as deliberate ("Only the modal is gated by enabled"), but the switch's own wording does not say so, and a user who turns alerts off and keeps receiving OS banners for the same tasks will reasonably read that as broken.
Reproduction: Grant notification permission. Turn the topbar due-alert switch off. Create a task due today. Within five minutes a desktop banner appears for it even though the switch reads off.
Root cause: Two surfaces share one preference object but only one reads the `enabled` flag; the switch's label claims ownership of both.
Fix: Decide one way and make the UI say it. Simplest: gate `useOverdueScan` on `prefs.enabled` too (`if (permission !== 'granted' || !prefs.enabled) return;`). If desktop notifications are meant to stay independent, split them into their own toggle in Settings → Notifications and reword the bell's label to "In-app due alerts".
Where to see it: Topbar due-alert switch · Settings → Notifications
Risk of applying: Low — One condition in one hook; the pure due-alert rules are unchanged and already tested. Recommendation: Proceed.
Files: src/hooks/useNotifications.js:92-119 · src/components/DueAlertBell.jsx:27-31 · src/hooks/useNotifications.js:101</t>
  </si>
  <si>
    <t xml:space="preserve">1. Given due-task alerts are switched off on this device
2. When a task becomes due and the five-minute scan runs
3. Then no desktop notification is raised — or the switch is relabelled so the user knows desktop banners are separate</t>
  </si>
  <si>
    <t>src/hooks/useNotifications.js:92-119 · src/components/DueAlertBell.jsx:27-31 · src/hooks/useNotifications.js:101</t>
  </si>
  <si>
    <t xml:space="preserve">Extend tests/ui/dueAlertToggle.test.mjs with a case that sets enabled:false, runs the scan with a due task and asserts showNotification was not called.
Run: npm test</t>
  </si>
  <si>
    <t>Topbar due-alert switch · Settings → Notifications</t>
  </si>
  <si>
    <t>T-0108</t>
  </si>
  <si>
    <t>BUG-025</t>
  </si>
  <si>
    <t>Two buttons named Log on every board card do different things</t>
  </si>
  <si>
    <t xml:space="preserve">The card footer renders `+ Log` (opens the ActivityLogger modal) immediately followed by a button whose label is `{expanded ? 'Hide' : 'Log'}` (toggles the inline activity history). Side by side, "+ Log" and "Log" read as the same control, and the second one's meaning flips to "Hide" only after it has been pressed. Neither has an `aria-label`, so a screen-reader user hears "plus Log" and "Log" with nothing to tell them apart.
Reproduction: Open the Board. On any card, the footer shows "+ Log" and "Log" next to each other. Click the second — it expands a history list rather than opening the logging form.
Root cause: The history toggle inherited the word "Log" from the feature name rather than from what it does.
Fix: Rename the toggle to `{expanded ? 'Hide history' : 'History'}` with a matching `aria-label` and `title`, and keep `+ Log` as the only control that records work. Consider showing the entry count on the toggle ("History · 4") since the card already knows `task.activityCount`.
Where to see it: Kanban board → task card footer
Risk of applying: Low — Copy only, in one component; no behaviour change. Recommendation: Proceed.
Files: src/components/Board.jsx:618-619</t>
  </si>
  <si>
    <t xml:space="preserve">1. Given a task card with logged activity
2. When a user reads its footer
3. Then exactly one control is called Log, and the history toggle is named History / Hide history with an aria-label that matches</t>
  </si>
  <si>
    <t>src/components/Board.jsx:618-619</t>
  </si>
  <si>
    <t xml:space="preserve">Render a Board card in jsdom and assert that only one button's accessible name contains 'Log' as a verb, and that the history toggle's name matches its title.
Run: npm test</t>
  </si>
  <si>
    <t>Kanban board → task card footer</t>
  </si>
  <si>
    <t>T-0109</t>
  </si>
  <si>
    <t>BUG-026</t>
  </si>
  <si>
    <t>Unknown view falls back to the Ask AI title</t>
  </si>
  <si>
    <t xml:space="preserve">`const current = VIEWS.find((v) =&gt; v.id === route.view) || VIEWS[0];` and `VIEWS[0]` is `{ id: 'ask-ai', label: 'Ask AI' }`. Any route not in VIEWS — `#/invite/&lt;id&gt;` when it renders inside the shell (App.jsx:205), a saved view pointing at a removed page, or a hand-typed hash — paints "Ask AI" in the topbar while a completely different page is on screen. The fallback also makes the Ask AI sidebar item look inactive-but-titled, which is confusing rather than harmless.
Reproduction: Navigate to `#/nonsense/all`. The topbar reads "Ask AI" and the content area is blank.
Root cause: The fallback picks the first entry of a list whose order is cosmetic rather than a neutral default.
Fix: Fall back to a neutral label (`{ id: route.view, label: 'Task Monitor' }`) or to the Dashboard entry, which is also what `parseHash` treats as the default view. Then render a small "That page does not exist — go to the Dashboard" card when `route.view` matches no rendered branch, instead of an empty content area.
Where to see it: Topbar title, any unrecognised URL
Risk of applying: Low — One line plus an optional not-found card; no routing rewrite (the hash router stays as it is). Recommendation: Proceed.
Files: src/components/AppShell.jsx:117 · src/components/AppShell.jsx:23-24</t>
  </si>
  <si>
    <t xml:space="preserve">1. Given a hash pointing at a view that does not exist
2. When the shell renders
3. Then the topbar does not claim to be another page, and the content area offers a way back to the Dashboard</t>
  </si>
  <si>
    <t>src/components/AppShell.jsx:117 · src/components/AppShell.jsx:23-24</t>
  </si>
  <si>
    <t xml:space="preserve">Render AppShell with route.view = 'nonsense' and assert the topbar title is not 'Ask AI' and that a not-found card with a Dashboard link is present.
Run: npm test</t>
  </si>
  <si>
    <t>Topbar title, any unrecognised URL</t>
  </si>
  <si>
    <t>T-0110</t>
  </si>
  <si>
    <t>IMP-010</t>
  </si>
  <si>
    <t>addTask silently drops status, progress and actual dates</t>
  </si>
  <si>
    <t xml:space="preserve">`addTask` is the single create path for tasks (quick-add, task editor's subtask promotion, templates, gallery, AI generator, minutes, CSV importer, import wizard, recurrence spawn) and it hardcodes `status: 'todo'`, `progress: 0`, `actual: { startDate: null, endDate: null }` regardless of the payload it is handed. Any caller that wants to create a task in a state other than fresh has no way to say so, and — because the fields are simply overwritten rather than rejected — a caller that tries gets no error. The import wizard's dropped Status column is the first symptom; a template that captures "in progress" or an AI-generated backlog with a mix of states would hit the same wall.
Reproduction: Call addTask with `{ status: 'done', progress: 100 }`. Read the created document: status is 'todo' and progress is 0, with no error raised.
Root cause: The factory was written when quick-add was the only caller and never revisited as nine call sites accumulated.
Fix: Accept optional `status`, `progress` and `actual`, validate `status` against the three known values (falling back to 'todo'), and derive progress/actual using the same rules as `setTaskStatus` when only `status` is given. Keep every current caller's behaviour by defaulting the new fields, and add a unit test that an unknown status is coerced rather than stored.
Where to see it: Data layer — every create-task path
Risk of applying: Medium — Central create path used by nine call sites and by recurrence spawning; additive defaults keep every existing caller identical, but the recurrence idempotency tests must be re-run. Recommendation: Proceed.
Files: src/services/firebase.js:1082-1083 · src/services/firebase.js:1090-1093 · src/components/ImportWizard.jsx:337</t>
  </si>
  <si>
    <t xml:space="preserve">1. Given addTask is called with status 'done'
2. When the document is written
3. Then status is done, progress is 100 and actual.endDate is today, and a call with no status still produces a todo task with progress 0</t>
  </si>
  <si>
    <t>src/services/firebase.js:1082-1083 · src/services/firebase.js:1090-1093 · src/components/ImportWizard.jsx:337</t>
  </si>
  <si>
    <t xml:space="preserve">Extend the firebase data-layer tests with three cases: no status (todo), valid status (honoured), garbage status (coerced to todo).
Run: npm test</t>
  </si>
  <si>
    <t>Data layer — every create-task path</t>
  </si>
  <si>
    <t>T-0111</t>
  </si>
  <si>
    <t>IMP-013</t>
  </si>
  <si>
    <t>Settings polls the notification permission twice a second</t>
  </si>
  <si>
    <t xml:space="preserve">`useEffect(() =&gt; { const id = setInterval(() =&gt; setNotifPerm(getNotificationPermission()), 1500); return () =&gt; clearInterval(id); }, [])` re-reads `Notification.permission` and re-renders the entire Settings page — which is the largest component in the app, holding workspaces, users, companies, webhooks and automations — every 1.5 seconds for as long as the page is open. This is the same class of problem that was fixed for the sidebar user block in T-0020, and the platform already offers the correct primitive: `useOverdueScan` subscribes to `navigator.permissions.query({ name: 'notifications' })` and its `onchange` event (useNotifications.js:81-90).
Reproduction: Open Settings with the React profiler recording. The root Settings component commits every 1.5 s with no user input.
Root cause: Polling was the quick way to notice a permission change made in the browser's own UI.
Fix: Replace the interval with the Permissions API subscription already written in useNotifications.js — extract it into a small `useNotificationPermission()` hook and use it in both places — and fall back to re-reading on window `focus` for browsers without the Permissions API.
Where to see it: Settings → Notifications
Risk of applying: Low — One hook shared by two call sites; a fallback keeps Safari/older browsers working. Recommendation: Proceed.
Files: src/components/SettingsView.jsx:126-130 · src/hooks/useNotifications.js:81-90</t>
  </si>
  <si>
    <t xml:space="preserve">1. Given the Settings page is open and untouched for a minute
2. When nothing changes
3. Then the component does not re-render, and granting permission from the browser UI still updates the badge</t>
  </si>
  <si>
    <t>src/components/SettingsView.jsx:126-130 · src/hooks/useNotifications.js:81-90</t>
  </si>
  <si>
    <t xml:space="preserve">Add a test that mounts the hook with a fake permissions API, advances fake timers by 60 s and asserts no setState occurred, then fires the change event and asserts one update.
Run: npm test</t>
  </si>
  <si>
    <t>Settings → Notifications</t>
  </si>
  <si>
    <t>T-0112</t>
  </si>
  <si>
    <t>IMP-016</t>
  </si>
  <si>
    <t>Bridge failure copy hands shell commands to ordinary users</t>
  </si>
  <si>
    <t xml:space="preserve">`askAI` throws "The Claude Code bridge is not reachable (…). Start it with `npm run bridge`, or switch the provider in Settings → AI brain" (ai.js:463-466) and `mockReply` prints "npm i -g @anthropic-ai/claude-code &amp;&amp; claude" plus "start the bridge with `npm run bridge`" into the answer body itself (ai.js:380-382). Those strings can reach any user whose provider resolves to the bridge or to mock, and they are rendered verbatim by the Dashboard and the AI helper. The project has a documented rule against exactly this — "Showing a shell command, a bridge URL or a CLI name to anyone but the operator" — and a solved pattern for it in `services/knowledgeCopy.js`, which returns operator copy or plain copy depending on `isOperator`.
Reproduction: Set the provider to Claude Code with no bridge running and trigger any AI feature as a non-superadmin. The error text names npm commands and a Settings section the user cannot open.
Root cause: The AI layer writes one message for both audiences, unlike the knowledge layer which was split in T-0026.
Fix: Give the thrown error two fields — `message` (one plain sentence: "AI is not available right now. Try again shortly, or ask your administrator.") and `operatorHint` (the commands) — and surface the hint only where `isOperator` is true, exactly as `knowledgeCopy(status, { isOperator })` does. Do the same for `mockReply`'s body.
Where to see it: Any AI surface — Dashboard, AI bulb, Ask AI, task AI panel
Risk of applying: Medium — Touches the single AI chokepoint's error shape; callers that print err.message keep working, and the operator hint must stay reachable in Settings → AI brain. Recommendation: Proceed.
Files: src/services/ai.js:463-466 · src/services/ai.js:378-383 · src/services/knowledgeCopy.js</t>
  </si>
  <si>
    <t xml:space="preserve">1. Given a non-superadmin user whose AI provider is unreachable
2. When any AI feature fails
3. Then the message contains no shell command, no CLI name and no bridge URL — and a superadmin still sees the runbook</t>
  </si>
  <si>
    <t>src/services/ai.js:463-466 · src/services/ai.js:378-383 · src/services/knowledgeCopy.js</t>
  </si>
  <si>
    <t xml:space="preserve">Extend tests/ui/copy.test.mjs with a guard that no string reachable from a non-operator surface contains 'npm ' or 'claude-code' or '127.0.0.1', mirroring the KnowledgeSection guards.
Run: npm test</t>
  </si>
  <si>
    <t>Any AI surface — Dashboard, AI bulb, Ask AI, task AI panel</t>
  </si>
  <si>
    <t>T-0113</t>
  </si>
  <si>
    <t>MISS-010</t>
  </si>
  <si>
    <t>Task table, Trash, Workload and Artifacts are unreachable from ⌘K</t>
  </si>
  <si>
    <t xml:space="preserve">`NAV_TARGETS` lists eighteen destinations, but the sidebar has twenty-one views. Workload, Trash and Artifacts have no entry at all, so typing "workload", "trash" or "artifacts" into the palette returns nothing and the only way to those pages is the sidebar tree — where Workload and Artifacts are nested inside collapsed groups. Trash is where a person goes when they have just deleted something by accident, which is precisely the moment they will reach for search.
Reproduction: Press ⌘K and type "trash". No navigation row appears.
Root cause: NAV_TARGETS is a hand-maintained copy of the sidebar's VIEWS list and drifted as pages were added.
Fix: Derive NAV_TARGETS from a single exported view registry that both AppShell's VIEWS and the palette import, with the extra search words as an optional property on each entry. Add a test that every id in the registry is reachable from the palette, so a new page can never ship unsearchable.
Where to see it: Command palette (⌘K)
Risk of applying: Low — Refactors two lists into one; the sidebar grouping logic reads the same registry and must keep its group ordering. Recommendation: Proceed.
Files: src/services/commandPalette.js:27-46 · src/components/AppShell.jsx:23-45</t>
  </si>
  <si>
    <t xml:space="preserve">1. Given any page listed in the sidebar
2. When its name is typed into ⌘K
3. Then a Go to … row appears for it, and a test fails if a new page is added without one</t>
  </si>
  <si>
    <t>src/services/commandPalette.js:27-46 · src/components/AppShell.jsx:23-45</t>
  </si>
  <si>
    <t xml:space="preserve">Add a guard in tests/ui/commandPalette.test.mjs iterating the view registry and asserting buildCommands(label) returns a navigate command for each.
Run: npm test</t>
  </si>
  <si>
    <t>Command palette (⌘K)</t>
  </si>
  <si>
    <t>T-0114</t>
  </si>
  <si>
    <t>POL-006</t>
  </si>
  <si>
    <t>Two competing import buttons on the Activity Log</t>
  </si>
  <si>
    <t xml:space="preserve">The Activity Log header renders "Import CSV" (the original `CsvImporter`) and "Import from spreadsheet" (the newer four-step `ImportWizard`, which handles tasks, projects and activities with column mapping and a per-row preview) side by side. Nothing tells the user which to pick, and the wizard supersedes the older importer for every case. Two doors into the same job on the same toolbar is the kind of choice that makes a non-technical person stop.
Reproduction: Open the Activity Log page and look at the header: two import buttons, no guidance.
Root cause: The wizard was added in T-0059 beside the existing importer rather than replacing it.
Fix: Keep one button, "Import", opening the wizard. If the old importer's fixed-column fast path is still wanted, offer it inside the wizard as "My file already uses the Task Monitor column names" on step 2. Retire CsvImporter once the wizard covers its cases, and keep its tests pointed at the wizard.
Where to see it: Activity Log page → header
Risk of applying: Low — Removing a button; the wizard already covers activities, and CsvImporter's tests should be migrated rather than deleted. Recommendation: Proceed.
Files: src/components/TableView.jsx:127-133 · src/components/CsvImporter.jsx · src/components/ImportWizard.jsx</t>
  </si>
  <si>
    <t xml:space="preserve">1. Given a user wants to import a spreadsheet
2. When they open the Activity Log header
3. Then there is exactly one Import control, and every case the old importer handled still works through it</t>
  </si>
  <si>
    <t>src/components/TableView.jsx:127-133 · src/components/CsvImporter.jsx · src/components/ImportWizard.jsx</t>
  </si>
  <si>
    <t xml:space="preserve">Assert one import button in the Activity Log header, and re-point tests/ui/CsvImporter.test.mjs cases at the wizard's equivalent step.
Run: npm test</t>
  </si>
  <si>
    <t>Activity Log page → header</t>
  </si>
  <si>
    <t>T-0115</t>
  </si>
  <si>
    <t>POL-007</t>
  </si>
  <si>
    <t>Activity Log and WBS can only produce a CSV — API/data layer</t>
  </si>
  <si>
    <t xml:space="preserve">The app has one exporter module rendering seven formats and an `ExportButton` used on Board, Gantt, Task table, Review, Minutes, Goals, Timesheet and Dashboard. Four surfaces never got it and still call `downloadFile` with a hand-rolled CSV: the Activity Log ("Export all CSV" and the bulk-bar export), the WBS view, the WBS modal, and the per-project activity log modal in Projects. Those are exactly the pages somebody sends to a client or a manager, and CSV is the one format nobody wants to receive.
Reproduction: Open the Activity Log and the WBS page. Neither has the Export ▾ menu that the Board, Gantt and Review pages have — only a CSV button.
Root cause: T-0047 wired ExportButton into the pages that produce reports; these four were not on that list.
Fix: Write `buildActivityLogDocument(activities, ctx)` and `buildWbsDocument(project, tasks)` in the exporters style (heading / paragraph / table blocks, plus a `sheets:` array for Excel) and swap the four CSV buttons for `&lt;ExportButton kind="table" /&gt;`. The existing CSV stays available as one of the menu entries, so nothing is lost.
Where to see it: Activity Log page · WBS page · WBS modal · Projects → project activity log
Risk of applying: Low — Additive; the heavy export libraries stay behind the existing dynamic imports and downloadFile keeps the date stamp. Recommendation: Proceed.
Scope of this row: server-side changes only (routes, validation, database, spec). Leave the UI for the next row.</t>
  </si>
  <si>
    <t xml:space="preserve">1. Given the Activity Log with entries on screen
2. When the user opens Export ▾ and picks Excel
3. Then an .xlsx named activity-log-YYYY-MM-DD.xlsx downloads with a frozen bold header and the same rows and order that are on screen</t>
  </si>
  <si>
    <t>src/components/TableView.jsx:132 · src/components/WBSView.jsx · src/components/WbsModal.jsx · src/components/ProjectsView.jsx · src/services/exporters.js:31-41</t>
  </si>
  <si>
    <t xml:space="preserve">Extend tests/ui/exporters.test.mjs to decode the produced .xlsx for the new builders, and tests/ui/exportButtons.test.mjs to assert the four pages now render an ExportButton.
Run: npm test</t>
  </si>
  <si>
    <t>Activity Log page · WBS page · WBS modal · Projects → project activity log</t>
  </si>
  <si>
    <t>T-0116</t>
  </si>
  <si>
    <t>Activity Log and WBS can only produce a CSV — UI</t>
  </si>
  <si>
    <t xml:space="preserve">The app has one exporter module rendering seven formats and an `ExportButton` used on Board, Gantt, Task table, Review, Minutes, Goals, Timesheet and Dashboard. Four surfaces never got it and still call `downloadFile` with a hand-rolled CSV: the Activity Log ("Export all CSV" and the bulk-bar export), the WBS view, the WBS modal, and the per-project activity log modal in Projects. Those are exactly the pages somebody sends to a client or a manager, and CSV is the one format nobody wants to receive.
Reproduction: Open the Activity Log and the WBS page. Neither has the Export ▾ menu that the Board, Gantt and Review pages have — only a CSV button.
Root cause: T-0047 wired ExportButton into the pages that produce reports; these four were not on that list.
Fix: Write `buildActivityLogDocument(activities, ctx)` and `buildWbsDocument(project, tasks)` in the exporters style (heading / paragraph / table blocks, plus a `sheets:` array for Excel) and swap the four CSV buttons for `&lt;ExportButton kind="table" /&gt;`. The existing CSV stays available as one of the menu entries, so nothing is lost.
Where to see it: Activity Log page · WBS page · WBS modal · Projects → project activity log
Risk of applying: Low — Additive; the heavy export libraries stay behind the existing dynamic imports and downloadFile keeps the date stamp. Recommendation: Proceed.
Scope of this row: client-side changes (pages, components, styles) that use the API from T-0115. Plain-language inputs only.</t>
  </si>
  <si>
    <t>T-0117</t>
  </si>
  <si>
    <t>Activity Log and WBS can only produce a CSV — tests &amp; docs</t>
  </si>
  <si>
    <t>Add automated tests covering POL-007 (API and, where possible, UI), update README.md/Implementation_plan.md status, append CHANGELOG.md.</t>
  </si>
  <si>
    <t>T-0115, T-0116</t>
  </si>
  <si>
    <t>T-0118</t>
  </si>
  <si>
    <t>POL-010</t>
  </si>
  <si>
    <t>Clickable rows respond to Enter but not Space — API/data layer</t>
  </si>
  <si>
    <t xml:space="preserve">Several list rows are divs carrying `role="button"` and `tabIndex={0}` with `onKeyDown={(e) =&gt; { if (e.key === 'Enter') ... }}`. The ARIA button pattern requires both Enter and Space; a screen-reader user who lands on one of these and presses Space gets a page scroll instead of the action. The Dashboard's action queue, project health rows and next-five-days rows all do it, as does the task editor's subtask row — which, to its credit, handles both (`if (e.key === 'Enter' || e.key === ' ')`, TaskEditor.jsx:692), so the app already knows the right shape.
Reproduction: Tab to a row in the Dashboard's action queue and press the spacebar. The page scrolls; the task does not open.
Root cause: The rows were made keyboard-reachable one at a time without a shared helper.
Fix: Add a tiny `activateProps(onActivate)` helper next to `useModalDialog` that returns `{ role: 'button', tabIndex: 0, onClick, onKeyDown }` handling Enter and Space with `preventDefault` on Space, and use it everywhere a div is acting as a button. Then guard it in tests/ui/modalSemantics.test.mjs alongside the icon-only-button check.
Where to see it: Dashboard → Action queue / Project health / Next 5 days
Risk of applying: Low — Presentation-layer only, one shared helper plus a static guard. Recommendation: Proceed.
Scope of this row: server-side changes only (routes, validation, database, spec). Leave the UI for the next row.</t>
  </si>
  <si>
    <t xml:space="preserve">1. Given any row rendered with role=button
2. When the user presses either Enter or Space on it
3. Then the same action fires and the page does not scroll</t>
  </si>
  <si>
    <t>src/components/DashboardView.jsx:480 · src/components/DashboardView.jsx:562 · src/components/DashboardView.jsx:605 · src/components/TaskEditor.jsx:692</t>
  </si>
  <si>
    <t xml:space="preserve">Add a repo-wide guard that every `role="button"` in src/components has an onKeyDown handling both keys, and a DOM test firing Space on a Dashboard queue row.
Run: npm test</t>
  </si>
  <si>
    <t>Dashboard → Action queue / Project health / Next 5 days</t>
  </si>
  <si>
    <t>T-0119</t>
  </si>
  <si>
    <t>Clickable rows respond to Enter but not Space — UI</t>
  </si>
  <si>
    <t xml:space="preserve">Several list rows are divs carrying `role="button"` and `tabIndex={0}` with `onKeyDown={(e) =&gt; { if (e.key === 'Enter') ... }}`. The ARIA button pattern requires both Enter and Space; a screen-reader user who lands on one of these and presses Space gets a page scroll instead of the action. The Dashboard's action queue, project health rows and next-five-days rows all do it, as does the task editor's subtask row — which, to its credit, handles both (`if (e.key === 'Enter' || e.key === ' ')`, TaskEditor.jsx:692), so the app already knows the right shape.
Reproduction: Tab to a row in the Dashboard's action queue and press the spacebar. The page scrolls; the task does not open.
Root cause: The rows were made keyboard-reachable one at a time without a shared helper.
Fix: Add a tiny `activateProps(onActivate)` helper next to `useModalDialog` that returns `{ role: 'button', tabIndex: 0, onClick, onKeyDown }` handling Enter and Space with `preventDefault` on Space, and use it everywhere a div is acting as a button. Then guard it in tests/ui/modalSemantics.test.mjs alongside the icon-only-button check.
Where to see it: Dashboard → Action queue / Project health / Next 5 days
Risk of applying: Low — Presentation-layer only, one shared helper plus a static guard. Recommendation: Proceed.
Scope of this row: client-side changes (pages, components, styles) that use the API from T-0118. Plain-language inputs only.</t>
  </si>
  <si>
    <t>T-0120</t>
  </si>
  <si>
    <t>Clickable rows respond to Enter but not Space — tests &amp; docs</t>
  </si>
  <si>
    <t>Add automated tests covering POL-010 (API and, where possible, UI), update README.md/Implementation_plan.md status, append CHANGELOG.md.</t>
  </si>
  <si>
    <t>T-0118, T-0119</t>
  </si>
  <si>
    <t>T-0121</t>
  </si>
  <si>
    <t>POL-011</t>
  </si>
  <si>
    <t>Column reorder buttons say left, show up</t>
  </si>
  <si>
    <t xml:space="preserve">In the Task table's column picker the reorder controls render the glyphs `↑` and `↓` but their accessible names are "Move &lt;column&gt; left" and (by symmetry) right. The project's own rule is that an icon-only button's `aria-label` and its `title` must agree so a screen-reader user and a mouse user are told the same thing; here the label and the glyph contradict each other, and since the table lays columns out horizontally, "left" is the correct word and the arrow is the wrong glyph.
Reproduction: Reports → Task table → Columns. Inspect a reorder button: the glyph is ↑, the accessible name says "left".
Root cause: The picker is a vertical list of columns that are laid out horizontally in the table, and the glyph followed the list while the label followed the table.
Fix: Use `←` / `→` glyphs to match the labels (the table is horizontal, so left/right is the truthful description), and add matching `title` attributes. Extend the modal-semantics guard so glyph/label direction words are checked, not only presence.
Where to see it: Reports → Task table → Columns picker
Risk of applying: Low — Two glyphs and two attributes in one component. Recommendation: Proceed.
Files: src/components/TasksTableView.jsx:212-219</t>
  </si>
  <si>
    <t xml:space="preserve">1. Given the Task table's column picker
2. When a screen reader announces a reorder button
3. Then its name, its title and its glyph all describe the same direction</t>
  </si>
  <si>
    <t>src/components/TasksTableView.jsx:212-219</t>
  </si>
  <si>
    <t xml:space="preserve">Extend tests/ui/modalSemantics.test.mjs's title/label agreement check to also flag an aria-label containing 'left'/'right' on a button whose text is '↑'/'↓'.
Run: npm test</t>
  </si>
  <si>
    <t>Reports → Task table → Columns picker</t>
  </si>
  <si>
    <t>T-0122</t>
  </si>
  <si>
    <t>POL-012</t>
  </si>
  <si>
    <t>Dashboard 'Log time' opens a read-only list</t>
  </si>
  <si>
    <t xml:space="preserve">The hero button is labelled "Log time" with the tooltip `Log time on "&lt;task&gt;"`, but its handler is `setViewingTask(actionQueue[0]?.task || inProgress[0] || filtered[0])` — which opens `TaskActivitiesModal`, a table of entries already logged. To actually record time the user then has to find "+ Log activity" inside that modal. The button also silently picks a task for the user with no indication of which one until the modal is open, and falls back to `filtered[0]` — an arbitrary task — when nothing is overdue or in progress.
Reproduction: Open the Dashboard with nothing overdue. Click "Log time". A modal opens listing past entries for some task you did not choose, with no logging form in front of you.
Root cause: The button reuses the task-viewing modal because it was the nearest existing surface.
Fix: Open `ActivityLogger` directly, and put a small task picker in front of it (the Work Performed page already has one — `setPickerOpen`) so the user chooses what they are logging against. Pre-select the same first-choice task so the common case is still one click, but show its title on the button rather than only in a tooltip.
Where to see it: Dashboard → hero → Log time
Risk of applying: Low — One component; reuses ActivityLogger and the existing picker, no new write path. Recommendation: Proceed.
Files: src/components/DashboardView.jsx:375-380</t>
  </si>
  <si>
    <t xml:space="preserve">1. Given the Dashboard
2. When the user clicks Log time
3. Then a form to record hours opens immediately, showing which task it will be logged against and offering a way to change it</t>
  </si>
  <si>
    <t>src/components/DashboardView.jsx:375-380</t>
  </si>
  <si>
    <t xml:space="preserve">Add a DOM test asserting the logging form (not the activities table) is rendered after the click, and that the chosen task's title is visible in the button or the form heading.
Run: npm test</t>
  </si>
  <si>
    <t>Dashboard → hero → Log time</t>
  </si>
  <si>
    <t>T-0123</t>
  </si>
  <si>
    <t>POL-013</t>
  </si>
  <si>
    <t>Board cards never show a due date</t>
  </si>
  <si>
    <t xml:space="preserve">The card body carries priority, project, overdue/done-early/done-late badges, dependency and recurrence counts, assignees, tags, custom-field chips, a subtask bar and counters — but a comment explicitly removes the dates: "Plan/actual dates are intentionally hidden from the card to keep it compact." Every benchmark board (Linear, Asana, Monday, ClickUp) shows the due date on the card, because "Overdue" tells you a task is late but not by how much or what is due tomorrow. The information is already computed one line above (`isOverdue` compares `task.plan.endDate` to today).
Reproduction: Open the Board with tasks due today, tomorrow and next week. Nothing on any card distinguishes them unless one is already overdue.
Root cause: A density decision made before the card gained assignees, custom fields and counters.
Fix: Add a compact due chip to the meta row — "Due Fri" for this week, "Due 12 Oct" beyond it, "3d late" when overdue (replacing the bare Overdue badge, which says less) — using the same `fmtDay` helper the task editor uses. Keep it out of the Done column, where the actual end date is the interesting number.
Where to see it: Kanban board → task card
Risk of applying: Low — Render-only change in one component; the dates are already on the task object. Recommendation: Proceed.
Files: src/components/Board.jsx:599-600 · src/components/Board.jsx:497-498</t>
  </si>
  <si>
    <t xml:space="preserve">1. Given a task due in three days
2. When its card renders on the board
3. Then the card shows its due date in a compact, local-day format, and an overdue task shows how many days late it is</t>
  </si>
  <si>
    <t>src/components/Board.jsx:599-600 · src/components/Board.jsx:497-498</t>
  </si>
  <si>
    <t xml:space="preserve">Render cards for a task due today, one due next month and one three days overdue, and assert each renders the expected chip text.
Run: npm test</t>
  </si>
  <si>
    <t>Kanban board → task card</t>
  </si>
  <si>
    <t>T-0124</t>
  </si>
  <si>
    <t>POL-014</t>
  </si>
  <si>
    <t>Recurrence help text describes only half the feature</t>
  </si>
  <si>
    <t xml:space="preserve">The recurrence editor closes with "The next instance is auto-created when this task is marked done." Since T-0084 that is only one of two paths: `useRecurrenceCatchUp` also materialises occurrences that have become due and are missing, whether or not anybody ticked anything off — which is the whole point of a schedule. The sentence as written tells a user that a weekly ritual nobody completes will simply stop, and it is the note they will read when deciding whether recurrence is trustworthy.
Reproduction: Open a task, tick Recurring task. Read the note under the controls.
Root cause: The copy predates the catch-up path added in T-0084 and was not revisited.
Fix: Replace with: "The next one is created when you mark this done — and if it is missed, it appears on the day it is next due, the next time somebody opens the app." That last clause is the honest limit the README already records, and it is better said here than discovered.
Where to see it: Task editor → Recurrence &amp; custom fields
Risk of applying: Low — Copy only. Recommendation: Proceed.
Files: src/components/TaskEditor.jsx:1341-1345 · src/hooks/useRecurrenceCatchUp.js · CLAUDE.md:137</t>
  </si>
  <si>
    <t xml:space="preserve">1. Given the recurrence editor is switched on
2. When the user reads the note beneath it
3. Then it describes both the on-completion path and the catch-up path, including the stated limit</t>
  </si>
  <si>
    <t>src/components/TaskEditor.jsx:1341-1345 · src/hooks/useRecurrenceCatchUp.js · CLAUDE.md:137</t>
  </si>
  <si>
    <t xml:space="preserve">Add a copy guard that the recurrence note mentions both paths, alongside the existing copy guards.
Run: npm test</t>
  </si>
  <si>
    <t>Task editor → Recurrence &amp; custom fields</t>
  </si>
  <si>
    <t>T-0125</t>
  </si>
  <si>
    <t>POL-015</t>
  </si>
  <si>
    <t>AI-unavailable message blames the wrong thing</t>
  </si>
  <si>
    <t xml:space="preserve">The AI helper correctly gates on `useAiStatus().available` — the documented rule — but its empty state then explains the failure in company terms: "An admin needs to assign your account to a company that has an AI key (Settings → User Management)." Availability can equally be off because the bridge is down, because the provider is set to none, or because `aiEnabled` is off for the company. It also directs the reader to a superadmin-only screen they cannot open. The provider layer already exposes the right sentence for every state through `providerHeadline(provider, known)`.
Reproduction: Set the AI provider to a bridge that is not running as a non-superadmin, open the topbar AI bulb: the message says a company key is missing.
Root cause: The copy was written for one cause of unavailability and hardcoded.
Fix: Render `providerHeadline(aiStatus().provider, aiStatus().known)` instead of the hardcoded sentence, and drop the reference to User Management for non-superadmins — "Ask your administrator" is both true and actionable for them.
Where to see it: Topbar AI bulb → Stuck? modal
Risk of applying: Low — Copy sourced from an existing tested function; one component. Recommendation: Proceed.
Files: src/components/AiHelper.jsx:86-90 · src/services/ai.js:268-288</t>
  </si>
  <si>
    <t xml:space="preserve">1. Given AI is unavailable because the bridge is down
2. When a non-superadmin opens the AI helper
3. Then the reason shown matches the actual provider state and names no screen the reader cannot open</t>
  </si>
  <si>
    <t>src/components/AiHelper.jsx:86-90 · src/services/ai.js:268-288</t>
  </si>
  <si>
    <t xml:space="preserve">Extend tests/ui/AiBrainPanel.test.mjs with the helper's empty state across the provider values none/mock/claude-code-with-dead-bridge.
Run: npm test</t>
  </si>
  <si>
    <t>Topbar AI bulb → Stuck? modal</t>
  </si>
  <si>
    <t>T-0126</t>
  </si>
  <si>
    <t>POL-016</t>
  </si>
  <si>
    <t>Default theme ignores the operating system's dark mode</t>
  </si>
  <si>
    <t xml:space="preserve">`DEFAULTS.theme = 'light'` even though the Appearance picker offers System as an option and describes it as following `prefers-color-scheme`, and even though the entire stylesheet is built around a `@media (prefers-color-scheme: dark)` block. A new user on a dark-mode Mac gets a bright white app until they find Settings → Appearance and change it. Every benchmark defaults to the system setting.
Reproduction: Clear localStorage, set macOS to Dark, load the app. It renders light.
Root cause: The default was chosen before the System option existed.
Fix: Change the default to `'system'`. Existing devices are unaffected because their stored value wins over the default — the same reasoning the due-alert opt-in note in this file already relies on. No one-off migration is needed or wanted here: a person who deliberately chose Light keeps it.
Where to see it: Settings → Appearance (and first paint everywhere)
Risk of applying: Low — One default value; stored preferences take precedence so no existing user's choice changes. Recommendation: Proceed.
Files: src/hooks/useSettings.js:9-14 · src/components/SettingsView.jsx:287-300</t>
  </si>
  <si>
    <t xml:space="preserve">1. Given a device with no stored settings and an OS set to dark
2. When the app first loads
3. Then it renders in dark, and a device that previously chose Light still renders light</t>
  </si>
  <si>
    <t>src/hooks/useSettings.js:9-14 · src/components/SettingsView.jsx:287-300</t>
  </si>
  <si>
    <t xml:space="preserve">Add a test that load() with empty storage returns theme 'system' and that applyTheme('system') removes the data-theme attribute; and that a stored 'light' survives.
Run: npm test</t>
  </si>
  <si>
    <t>Settings → Appearance (and first paint everywhere)</t>
  </si>
  <si>
    <t>T-0127</t>
  </si>
  <si>
    <t>IMP-017</t>
  </si>
  <si>
    <t>One bulk-action bar exists, and it is on the wrong table — API/data layer</t>
  </si>
  <si>
    <t xml:space="preserve">`TableView` (the activity log) has full multi-select: a select-all checkbox, per-row checkboxes, and a bulk bar wired to `bulkDeleteActivities`, `bulkUpdateActivityCompletion` and CSV export. `TasksTableView` — the configurable task report that Linear/Asana users would reach for first — has no row selection at all; its only checkbox is in the column picker. So there is no way anywhere in the app to reassign, reschedule, re-prioritise, tag or close ten tasks at once, which is the single most common bulk operation in every benchmark product.
Reproduction: Open Reports → Task table with 20 tasks. There is no checkbox column and no way to select more than one row.
Root cause: The task table was built as a report (columns, grouping, sort, export) rather than as an editing surface.
Fix: Add a selection column to TasksTableView reusing TableView's Set-based pattern, and a bulk bar offering set status, set priority, set assignee, set due date, add tag and delete — each committed through a `writeBatch` (bounded at 400 writes per batch, as the import wizard already does) so counters and rules behave. Shift-click for a range and ⌘/Ctrl-click for individual rows.
Where to see it: Reports → Task table
Risk of applying: Medium — New multi-document write path; must batch, must respect per-project ACLs (the rules are the enforcement point), and must be covered before it touches real data. Recommendation: Proceed.
Scope of this row: server-side changes only (routes, validation, database, spec). Leave the UI for the next row.</t>
  </si>
  <si>
    <t xml:space="preserve">1. Given ten tasks selected in the Task table
2. When the user picks "Set priority → High" from the bulk bar
3. Then all ten are updated in one batch, a toast confirms the count with Undo, and the selection clears</t>
  </si>
  <si>
    <t>src/components/TableView.jsx:105-116 · src/components/TasksTableView.jsx:190-220</t>
  </si>
  <si>
    <t xml:space="preserve">Add DOM tests for select-all, shift-range selection and one bulk action asserting a single batched write with the right payload, plus an Undo that restores the previous values.
Run: npm test</t>
  </si>
  <si>
    <t>Reports → Task table</t>
  </si>
  <si>
    <t>T-0128</t>
  </si>
  <si>
    <t>One bulk-action bar exists, and it is on the wrong table — UI</t>
  </si>
  <si>
    <t xml:space="preserve">`TableView` (the activity log) has full multi-select: a select-all checkbox, per-row checkboxes, and a bulk bar wired to `bulkDeleteActivities`, `bulkUpdateActivityCompletion` and CSV export. `TasksTableView` — the configurable task report that Linear/Asana users would reach for first — has no row selection at all; its only checkbox is in the column picker. So there is no way anywhere in the app to reassign, reschedule, re-prioritise, tag or close ten tasks at once, which is the single most common bulk operation in every benchmark product.
Reproduction: Open Reports → Task table with 20 tasks. There is no checkbox column and no way to select more than one row.
Root cause: The task table was built as a report (columns, grouping, sort, export) rather than as an editing surface.
Fix: Add a selection column to TasksTableView reusing TableView's Set-based pattern, and a bulk bar offering set status, set priority, set assignee, set due date, add tag and delete — each committed through a `writeBatch` (bounded at 400 writes per batch, as the import wizard already does) so counters and rules behave. Shift-click for a range and ⌘/Ctrl-click for individual rows.
Where to see it: Reports → Task table
Risk of applying: Medium — New multi-document write path; must batch, must respect per-project ACLs (the rules are the enforcement point), and must be covered before it touches real data. Recommendation: Proceed.
Scope of this row: client-side changes (pages, components, styles) that use the API from T-0127. Plain-language inputs only.</t>
  </si>
  <si>
    <t>T-0129</t>
  </si>
  <si>
    <t>One bulk-action bar exists, and it is on the wrong table — tests &amp; docs</t>
  </si>
  <si>
    <t>Add automated tests covering IMP-017 (API and, where possible, UI), update README.md/Implementation_plan.md status, append CHANGELOG.md.</t>
  </si>
  <si>
    <t>T-0127, T-0128</t>
  </si>
  <si>
    <t>T-0130</t>
  </si>
  <si>
    <t>NEW-020</t>
  </si>
  <si>
    <t>My Week — one personal plan across every workspace — API/data layer</t>
  </si>
  <si>
    <t xml:space="preserve">Motion's and Asana's "My Tasks" answer a question this app cannot: what am I doing this week, across everything. Today the My-tasks chip filters one board in one workspace, and the Workload page is a manager's grid of other people. The hooks for the cross-workspace version already exist — `useAllWorkspaceTasks` and `useAllWorkspaceProjects` were written for Goals — so the data is one import away. For an owner who runs several workspaces (the stated use), a single weekly plan is the one screen that would actually be open all day.
Reproduction: n/a — new capability. The My tasks chip in the topbar filters only the active workspace's board.
Root cause: n/a
Fix: A new view built on `useAllWorkspaceTasks`, filtered to `assignedTo.includes(uid)`, laid out as five day columns honouring the week-start preference, with an "unscheduled" rail to drag from — reusing `workload.js`'s `moveTaskPlan` so a drop means the same thing it does on the Workload grid. Show the workspace name on each card, since the point is that they are mixed.
Where to see it: New sidebar view — My Week
Risk of applying: Medium — Reads across every workspace the user belongs to (rules already permit it) and writes through an existing tested helper; watch the read volume until the task queries are bounded. Recommendation: Proceed.
Scope of this row: server-side changes only (routes, validation, database, spec). Leave the UI for the next row.</t>
  </si>
  <si>
    <t xml:space="preserve">1. Given tasks assigned to the user in two different workspaces
2. When they open My Week
3. Then both appear on their due days with their workspace named, and dragging one to another day writes plan.endDate while preserving its duration</t>
  </si>
  <si>
    <t>src/hooks/useTasks.js:507-525 · src/components/AppShell.jsx:221-229 · src/services/workload.js</t>
  </si>
  <si>
    <t xml:space="preserve">Pure tests for the week bucketing across workspaces, plus DOM tests for a drop producing exactly the {plan.endDate, plan.startDate} patch that workload.js already specifies.
Run: npm test</t>
  </si>
  <si>
    <t>New sidebar view — My Week</t>
  </si>
  <si>
    <t>T-0131</t>
  </si>
  <si>
    <t>My Week — one personal plan across every workspace — UI</t>
  </si>
  <si>
    <t xml:space="preserve">Motion's and Asana's "My Tasks" answer a question this app cannot: what am I doing this week, across everything. Today the My-tasks chip filters one board in one workspace, and the Workload page is a manager's grid of other people. The hooks for the cross-workspace version already exist — `useAllWorkspaceTasks` and `useAllWorkspaceProjects` were written for Goals — so the data is one import away. For an owner who runs several workspaces (the stated use), a single weekly plan is the one screen that would actually be open all day.
Reproduction: n/a — new capability. The My tasks chip in the topbar filters only the active workspace's board.
Root cause: n/a
Fix: A new view built on `useAllWorkspaceTasks`, filtered to `assignedTo.includes(uid)`, laid out as five day columns honouring the week-start preference, with an "unscheduled" rail to drag from — reusing `workload.js`'s `moveTaskPlan` so a drop means the same thing it does on the Workload grid. Show the workspace name on each card, since the point is that they are mixed.
Where to see it: New sidebar view — My Week
Risk of applying: Medium — Reads across every workspace the user belongs to (rules already permit it) and writes through an existing tested helper; watch the read volume until the task queries are bounded. Recommendation: Proceed.
Scope of this row: client-side changes (pages, components, styles) that use the API from T-0130. Plain-language inputs only.</t>
  </si>
  <si>
    <t>T-0132</t>
  </si>
  <si>
    <t>My Week — one personal plan across every workspace — tests &amp; docs</t>
  </si>
  <si>
    <t>Add automated tests covering NEW-020 (API and, where possible, UI), update README.md/Implementation_plan.md status, append CHANGELOG.md.</t>
  </si>
  <si>
    <t>T-0130, T-0131</t>
  </si>
  <si>
    <t>T-0133</t>
  </si>
  <si>
    <t>IMP-011</t>
  </si>
  <si>
    <t>Every task in a workspace is downloaded on every board</t>
  </si>
  <si>
    <t xml:space="preserve">`subscribeToTasks` queries on `workspaceId` alone and then does `deleted`/`archived` filtering and the `createdAt` sort in the browser, with an inline comment accepting the cost because "workspaces are bounded scopes (typically &lt; 1000 tasks)". That was true for one owner; the app now supports invited teammates, per-project ACLs and share links, and the activity collection was already moved to bounded server-side queries with composite indexes in T-0037. Tasks are now the last unbounded live listener: a workspace that accumulates a few years of done-and-archived work pays for every one of those documents on every page load, on every device, forever — and an archived task is downloaded only to be thrown away.
Reproduction: Seed a workspace with 5,000 tasks, 4,000 of them archived. Open the Board and watch the Firestore read count in the console: all 5,000 documents are fetched before anything paints.
Root cause: The listener predates the composite-index file and was never migrated when the activity queries were.
Fix: Add a composite index on (workspaceId asc, deleted asc, archived asc, createdAt desc) to firestore.indexes.json and put `where('deleted','==',false)`, `where('archived','==',false)`, `orderBy('createdAt','desc')` and a `limit` into the query. Keep the Trash view's separate `deleted == true` query as it is, and add an explicit "Archived" query for the places that want archived work.
Where to see it: Data layer — Board, Gantt, Calendar, Workload, Task table
Risk of applying: High — Requires deploying a new composite index before the code ships or every task query starts failing; affects every task-reading screen and has no emulator coverage today. Recommendation: On-Hold.
Files: src/services/firebase.js:1316-1335 · firestore.indexes.json</t>
  </si>
  <si>
    <t xml:space="preserve">1. Given a workspace with 5,000 tasks of which 4,000 are archived
2. When the Board opens
3. Then only the live page of tasks is read from Firestore, and the index needed for that query is in firestore.indexes.json</t>
  </si>
  <si>
    <t>src/services/firebase.js:1316-1335 · firestore.indexes.json</t>
  </si>
  <si>
    <t xml:space="preserve">Extend src/services/firestoreQueries.test.mjs with an assertion that subscribeToTasks builds where+orderBy+limit clauses, and add a guard that every composite query in firebase.js has a matching entry in firestore.indexes.json.
Run: npm test</t>
  </si>
  <si>
    <t>Data layer — Board, Gantt, Calendar, Workload, Task table</t>
  </si>
  <si>
    <t>T-0134</t>
  </si>
  <si>
    <t>IMP-012</t>
  </si>
  <si>
    <t>Gantt drag re-binds window listeners on every mouse move</t>
  </si>
  <si>
    <t xml:space="preserve">The drag effect depends on `drag`, and `onMove` calls `setDrag({ ...drag, curStartDay, curEndDay })` — a new object on every pointermove. React therefore tears down and re-adds both `window` listeners for each move event, dozens of times a second, for the whole gesture. It works (the CLAUDE.md pitfall about window-level listeners is respected), but it is unnecessary churn on the one interaction in the app that has to stay at 60fps, and it makes the commit path dependent on the listener that happens to be installed at pointerup.
Reproduction: Open the Gantt, start a bar drag, and watch add/removeEventListener pairs fire once per pointermove in a profiler.
Root cause: Live drag coordinates are held in state that the effect also depends on.
Fix: Hold the live drag in a ref and drive only the rendered offsets through state (or install the listeners once in an effect keyed on `drag?.mode` and read the mutable geometry from the ref). The commit on pointerup then reads the ref, which also removes the stale-closure risk on `task.plan`.
Where to see it: Gantt chart → plan bar drag
Risk of applying: Low — One component; the existing drag-persistence behaviour and the window-listener rule must be preserved. Recommendation: Proceed.
Files: src/components/GanttView.jsx:543-586</t>
  </si>
  <si>
    <t xml:space="preserve">1. Given a user drags a plan bar across 200 pixels
2. When the gesture completes
3. Then the window pointermove/pointerup listeners were installed once, and the committed dates match the final pointer position</t>
  </si>
  <si>
    <t>src/components/GanttView.jsx:543-586</t>
  </si>
  <si>
    <t xml:space="preserve">Spy on window.addEventListener during a simulated drag in jsdom and assert the pointermove listener count stays at one throughout.
Run: npm test</t>
  </si>
  <si>
    <t>Gantt chart → plan bar drag</t>
  </si>
  <si>
    <t>T-0135</t>
  </si>
  <si>
    <t>IMP-014</t>
  </si>
  <si>
    <t>Hosting serves no security headers</t>
  </si>
  <si>
    <t xml:space="preserve">`firebase.json`'s `hosting.headers` sets only cache-control for `/sw.js`, `/index.html` and `/assets/**`. There is no Content-Security-Policy, X-Content-Type-Options, Referrer-Policy, X-Frame-Options or Permissions-Policy. For an app that renders user-authored Markdown (`Markdown.jsx`), serves one world-readable route to unauthenticated strangers (`#/shared/&lt;token&gt;`), holds a Google session, and talks to a localhost bridge, that is the cheapest hardening available and it costs nothing at runtime — it is a static-hosting config change, not a backend.
Reproduction: Run `curl -I https://task-monitor-cbaf2.web.app/` and inspect the response headers — no CSP, no X-Frame-Options, no Referrer-Policy.
Root cause: The headers block was added for cache behaviour only and never extended.
Fix: Add a `{ "source": "**", "headers": [...] }` entry with `X-Content-Type-Options: nosniff`, `Referrer-Policy: strict-origin-when-cross-origin`, `X-Frame-Options: DENY`, `Permissions-Policy: geolocation=(), camera=(), microphone=()` and a report-only CSP first (Firebase Auth, Firestore, Storage, the Anthropic API and http://127.0.0.1:4319 all need allow-listing), then promote it to enforcing once the report is clean.
Where to see it: Deployment configuration (no visible screen)
Risk of applying: High — A wrong CSP silently breaks sign-in popups, Firestore streaming, Storage uploads and the dynamic export imports; must go out report-only first and be verified on a preview channel. Recommendation: On-Hold.
Files: firebase.json:23-51 · src/components/Markdown.jsx</t>
  </si>
  <si>
    <t xml:space="preserve">1. Given the deployed site
2. When any page is requested
3. Then the response carries nosniff, a referrer policy, frame denial and a CSP that does not break sign-in, Firestore, Storage, exports or the local bridge</t>
  </si>
  <si>
    <t>firebase.json:23-51 · src/components/Markdown.jsx</t>
  </si>
  <si>
    <t xml:space="preserve">Deploy to a preview channel, run the app end to end (sign in, board, export an .xlsx, open a share link, probe the bridge on localhost) with the CSP in report-only mode and confirm the report is empty before enforcing.
Run: npm test</t>
  </si>
  <si>
    <t>Deployment configuration (no visible screen)</t>
  </si>
  <si>
    <t>T-0136</t>
  </si>
  <si>
    <t>IMP-015</t>
  </si>
  <si>
    <t>Preferences never follow the user to a second device</t>
  </si>
  <si>
    <t xml:space="preserve">Every preference — theme, default project, week start, the whole `dueAlerts` block — lives in one localStorage key (`task-monitor.settings.v1`) with the comment "Per-device by design (matches the anonymous-auth model)". Anonymous auth is gone: users sign in with Google and the app explicitly promises "Your data syncs across any device where you sign in with this Google account" (SettingsView.jsx:347-349). Someone who sets dark mode, a Monday week start and a default project on their laptop gets light mode and none of it on their desktop. The brief's constraint is that per-device preferences must not touch *shared task documents* — a `users/{uid}.preferences` map is a different thing and is already covered by the users rules.
Reproduction: Set theme to Dark and week start to Sunday. Sign in with the same Google account in a different browser profile: both are back to the defaults.
Root cause: The settings module predates Google sign-in and was never revisited when anonymous auth was removed.
Fix: Split the settings object in two. Account-level (theme, defaultProject, weekStart) go to `users/{uid}.preferences` with localStorage as a first-paint cache and last-write-wins merge; genuinely device-level state (due-alert snooze/skip/mute, bridge URL and admin code, recents) stays where it is. Keep `applyTheme` running from the cached copy so there is no flash before the profile arrives.
Where to see it: Settings → Appearance / Defaults
Risk of applying: High — Adds a write to the users document (auth-adjacent, rules-enforced) and changes where preferences come from on first paint; needs an emulator rules test before it ships. Recommendation: On-Hold.
Files: src/hooks/useSettings.js:1-14 · src/components/SettingsView.jsx:347-349</t>
  </si>
  <si>
    <t xml:space="preserve">1. Given a user sets Dark theme and Sunday week start on device A
2. When they sign in on device B
3. Then both settings are already applied, and due-alert snooze/mute state is still per-device</t>
  </si>
  <si>
    <t>src/hooks/useSettings.js:1-14 · src/components/SettingsView.jsx:347-349</t>
  </si>
  <si>
    <t xml:space="preserve">Add unit tests for the merge (local cache vs remote, newest wins), and a rules test that a user can write only their own preferences map.
Run: npm test</t>
  </si>
  <si>
    <t>Settings → Appearance / Defaults</t>
  </si>
  <si>
    <t>T-0137</t>
  </si>
  <si>
    <t>NEW-015</t>
  </si>
  <si>
    <t>Estimates versus actual hours, with variance</t>
  </si>
  <si>
    <t xml:space="preserve">The app tracks actual effort meticulously — `hoursSpent` per activity, `totalHoursLogged` denormalised onto the task, a timesheet, a workload planner that assumes four hours a task — but there is no estimate to compare any of it against. Every benchmark has one, and for this app it is the missing half of an idea it already commits to everywhere else: plan versus actual. Today the app does plan-vs-actual on dates and nothing on effort, so it can tell you a task finished late but never that it cost three times what it was supposed to.
Reproduction: n/a — new capability. The task editor has a Logged hours read-out with nothing to compare it to.
Root cause: n/a
Fix: Add `estimateHours` to the task document and to the editor beside Plan start/end; surface it as a Task-table column and in the workload grid (replacing the four-hours-a-task assumption `workload.js` currently states in words); add a variance column (logged − estimate, with a percentage) to the timesheet and the status report. No counter work is needed — `totalHoursLogged` is already maintained.
Where to see it: Task editor → Details · Reports → Task table · Board → Workload · Timesheet
Risk of applying: Medium — Adds a field to the task document (additive, no migration) but changes the workload arithmetic a manager is already trusting; the fallback must be explicit. Recommendation: Proceed.
Files: CLAUDE.md:58 · src/services/workload.js · src/components/TimesheetView.jsx</t>
  </si>
  <si>
    <t xml:space="preserve">1. Given a task estimated at 8 hours with 12 logged
2. When the user views the Task table or the status report
3. Then it shows 12h against 8h and a +50% variance, and the workload grid uses the estimate rather than the flat default</t>
  </si>
  <si>
    <t>CLAUDE.md:58 · src/services/workload.js · src/components/TimesheetView.jsx</t>
  </si>
  <si>
    <t xml:space="preserve">Pure unit tests for the variance arithmetic (including zero and missing estimates), plus a workload test that a task with an estimate uses it and one without falls back to the documented default.
Run: npm test</t>
  </si>
  <si>
    <t>Task editor → Details · Reports → Task table · Board → Workload · Timesheet</t>
  </si>
  <si>
    <t>T-0138</t>
  </si>
  <si>
    <t>NEW-017</t>
  </si>
  <si>
    <t>WIP limits and column policies on the board</t>
  </si>
  <si>
    <t xml:space="preserve">A kanban board without a work-in-progress limit is a list with three headings. Every serious kanban implementation lets a column carry a limit and shows it breached. This app has the numbers already — `ColumnShell` receives a live `count`, and the Dashboard computes "N days in Doing" per task (DashboardView.jsx:194-197) — so both the limit and the ageing signal are one step away. For a one-owner portfolio it is the cheapest mechanism there is for stopping fifteen things being half-done at once, which is the failure mode this app's own blocker panel keeps surfacing.
Reproduction: n/a — new capability. Column headers show a count with nothing to compare it to.
Root cause: n/a
Fix: Store `wipLimits: { [statusId]: number }` on the project, render "5 / 3" with a warning tint when the count is over, and add an ageing dot on any card that has been in a column beyond a configurable number of days (the data is `actual.startDate`). Warn on drop rather than block it — a hard block on a personal board is an annoyance, not a discipline.
Where to see it: Kanban board → column headers · Projects → project editor
Risk of applying: Low — Additive project field and render logic; drops are never blocked, so no existing behaviour changes. Recommendation: Proceed.
Files: src/components/Board.jsx:385-395 · src/components/DashboardView.jsx:194-197</t>
  </si>
  <si>
    <t xml:space="preserve">1. Given In Progress has a limit of 3 and holds 5 tasks
2. When the board renders
3. Then the header reads 5 / 3 in a warning tone and dropping a sixth shows a non-blocking warning toast</t>
  </si>
  <si>
    <t>src/components/Board.jsx:385-395 · src/components/DashboardView.jsx:194-197</t>
  </si>
  <si>
    <t xml:space="preserve">DOM tests for under, at and over the limit, and a drop test asserting the write still happens with a warning.
Run: npm test</t>
  </si>
  <si>
    <t>Kanban board → column headers · Projects → project editor</t>
  </si>
  <si>
    <t>T-0139</t>
  </si>
  <si>
    <t>NEW-019</t>
  </si>
  <si>
    <t>Duplicate a task, a project or a whole process</t>
  </si>
  <si>
    <t xml:space="preserve">There is no duplicate anywhere. Templates cover the planned case — you knew in advance that this shape would recur — but the far commoner case is "do that again for the next client", decided after the fact. `taskAsTemplatePayload` and `projectAsTemplatePayload` already know exactly which fields to strip (ids, dates, counters), so duplicate is that function plus an immediate create, and for a project it is that plus a pass over its tasks. Every benchmark has it, usually on the right-click menu.
Reproduction: n/a — new capability. The task editor footer offers Delete, Save as template, Cancel and Save changes — no Duplicate.
Root cause: n/a
Fix: `duplicateTask(task, { titleSuffix: ' (copy)' })` = `addTask(userId, taskAsTemplatePayload(task))` with the workspace and project carried over. `duplicateProject(project, { withTasks })` creates the project from `projectAsTemplatePayload` and, when asked, re-creates its open tasks with plan dates shifted to keep their relative offsets. Put Duplicate in the task editor footer, the project card and the ⌘K palette.
Where to see it: Task editor → footer · Projects → project card · ⌘K
Risk of applying: Medium — Creates many documents in one action; must batch, must not copy counters or activity, and needs an Undo path since a mis-click makes a lot of rows. Recommendation: Proceed.
Files: src/services/firebase.js:1767 · src/services/firebase.js:1781 · src/components/TaskEditor.jsx:357-378</t>
  </si>
  <si>
    <t xml:space="preserve">1. Given a project with three phases and twelve tasks
2. When the user duplicates it with tasks included
3. Then a new project exists with the same phases, twelve fresh tasks with zeroed counters and no activity, and relative plan dates preserved</t>
  </si>
  <si>
    <t>src/services/firebase.js:1767 · src/services/firebase.js:1781 · src/components/TaskEditor.jsx:357-378</t>
  </si>
  <si>
    <t xml:space="preserve">Unit tests asserting the duplicated payload carries no id, no counters, no activity references and no actual dates; an integration test for the date-offset preservation.
Run: npm test</t>
  </si>
  <si>
    <t>Task editor → footer · Projects → project card · ⌘K</t>
  </si>
  <si>
    <t>T-0140</t>
  </si>
  <si>
    <t>NEW-024</t>
  </si>
  <si>
    <t>Project-scoped Ask AI with cited sources</t>
  </si>
  <si>
    <t xml:space="preserve">Ask AI is workspace-wide and lives on its own page, and the NotebookLM grounding that makes its answers trustworthy is reachable only from there. The question people actually have is project-shaped — "what is holding up the Riverside job?" — and they have it while looking at the project. The project editor already knows its own `knowledge.notebookId` (projects carry one, falling back to the workspace's), and `askAI(system, user, { ground: { notebookId } })` already prepends cited notebook material and marks a failed lookup as degraded.
Reproduction: n/a — new capability. The project editor's only AI is the task generator.
Root cause: n/a
Fix: Add an Ask panel to the project editor that builds its digest from that project's tasks and activities only, passes `ground: { notebookId: project.knowledge?.notebookId ?? workspace.knowledge?.notebookId }`, and renders citations plus the degraded badge when the lookup failed. Everything goes through `askAI` — no new provider path, no direct model call.
Where to see it: Projects → project editor → Ask panel
Risk of applying: Low — Uses the existing AI chokepoint and grounding contract; no new collection and no new provider. Recommendation: Proceed.
Files: CLAUDE.md:42 · src/services/ai.js:406-470 · src/components/ProjectsView.jsx:927</t>
  </si>
  <si>
    <t xml:space="preserve">1. Given a project with a notebook configured and a question typed into its Ask panel
2. When the answer comes back
3. Then the cited notebook material is shown alongside it — and if the lookup failed, the answer is still given and marked degraded with the reason</t>
  </si>
  <si>
    <t>CLAUDE.md:42 · src/services/ai.js:406-470 · src/components/ProjectsView.jsx:927</t>
  </si>
  <si>
    <t xml:space="preserve">Stub askAI to return a grounded result, then a degraded one with grounding null, and assert the panel renders citations in the first case and the degraded badge in the second.
Run: npm test</t>
  </si>
  <si>
    <t>Projects → project editor → Ask panel</t>
  </si>
  <si>
    <t>T-0141</t>
  </si>
  <si>
    <t>NEW-025</t>
  </si>
  <si>
    <t>Subtasks that can grow into real tasks in place</t>
  </si>
  <si>
    <t xml:space="preserve">Subtasks are a flat checklist of `{ id, text, done }` on the task document, and the only way out is `promoteSubtask`, which creates a separate task and removes it from the list — so the hierarchy is lost the moment a checklist item turns out to need dates, an owner or its own log. Asana and ClickUp keep the parent link. This app's `links: [{ targetId, type }]` array is already the right shape for it: promote could write `type: 'parent-of'` instead of `'related-to'` and the tree would survive.
Reproduction: n/a — partial capability. Open a task, promote a subtask: the new task is linked as "related to", and the parent's checklist no longer mentions it.
Root cause: n/a — promote was built as an escape hatch, not as a hierarchy.
Fix: Add `'parent-of'` / `'child-of'` to `LINK_TYPES`, have `promoteSubtask` write the parent link, and render children as a rollup in the parent's editor (count, progress, combined logged hours) and as an indent group in the Task table. Roll a parent's progress up from its children when it has any, the way it already rolls up from subtasks.
Where to see it: Task editor → Subtasks and Dependencies &amp; relations
Risk of applying: Medium — Uses the existing links array (no schema change) but changes how progress is computed, which feeds the dashboard RAG and the status report. Recommendation: Proceed.
Files: src/components/TaskEditor.jsx:250-252 · src/components/TaskEditor.jsx:1083-1087 · CLAUDE.md:54</t>
  </si>
  <si>
    <t xml:space="preserve">1. Given a task with a promoted subtask
2. When the parent is opened
3. Then the child is listed under it with its own status and hours, and the parent's progress includes it</t>
  </si>
  <si>
    <t>src/components/TaskEditor.jsx:250-252 · src/components/TaskEditor.jsx:1083-1087 · CLAUDE.md:54</t>
  </si>
  <si>
    <t xml:space="preserve">Pure tests for the rollup arithmetic with mixed subtasks and child tasks; a guard against a link cycle making the rollup recurse.
Run: npm test</t>
  </si>
  <si>
    <t>Task editor → Subtasks and Dependencies &amp; relations</t>
  </si>
  <si>
    <t>T-0142</t>
  </si>
  <si>
    <t>NEW-026</t>
  </si>
  <si>
    <t>Portfolio view across every workspace</t>
  </si>
  <si>
    <t xml:space="preserve">The Dashboard's project-health table — done percentage against schedule elapsed, RAG-rated, worst first — is the best thing in the app, and it can only ever see one workspace at a time. An owner with three workspaces has to switch between them and hold the comparison in their head. Asana Portfolios and Monday's dashboards exist for exactly this. `useAllWorkspaceProjects` and `useAllWorkspaceTasks` already fetch across every workspace the user belongs to, and `statusReport.js` already turns a digest into a document, so this is mostly an aggregation and a heading.
Reproduction: n/a — new capability. The Dashboard is scoped to the active workspace by `activeWorkspaceId`.
Root cause: n/a
Fix: Extract the RAG computation out of DashboardView into a pure `services/portfolio.js`, then render it twice: once workspace-scoped as today, once across `useAllWorkspaceProjects`, grouped by workspace with a roll-up row each. Give the cross-workspace version the same Export ▾ status report the Dashboard has.
Where to see it: New sidebar view — Portfolio
Risk of applying: Medium — Extracting the RAG arithmetic changes shared code the Dashboard and the status report both depend on; pure tests must pin the current behaviour before the move. Recommendation: Proceed.
Files: src/components/DashboardView.jsx:226-235 · src/hooks/useTasks.js:487-525 · src/services/statusReport.js</t>
  </si>
  <si>
    <t xml:space="preserve">1. Given three workspaces with projects in varying health
2. When the portfolio view opens
3. Then every project is rated on one list, worst first, grouped by workspace, and the export produces the same ranking</t>
  </si>
  <si>
    <t>src/components/DashboardView.jsx:226-235 · src/hooks/useTasks.js:487-525 · src/services/statusReport.js</t>
  </si>
  <si>
    <t xml:space="preserve">Move the existing RAG cases into pure tests for the extracted module, then add cross-workspace cases including an empty workspace and a project with no dates.
Run: npm test</t>
  </si>
  <si>
    <t>New sidebar view — Portfolio</t>
  </si>
  <si>
    <t>T-0143</t>
  </si>
  <si>
    <t>NEW-029</t>
  </si>
  <si>
    <t>Saved views shared with the workspace</t>
  </si>
  <si>
    <t xml:space="preserve">`savedViews` documents carry a `userId` and the subscription is scoped to `(workspaceId, userId)`, so a view is private to the person who made it. The Task table can express a genuinely useful report — chosen columns, grouped by assignee, sorted by due date, filtered to one project — and there is no way to hand that to a teammate except by describing it. Asana, Linear and Monday all make the shared view the unit of team alignment.
Reproduction: n/a — new capability. A saved view appears only in its author's sidebar.
Root cause: n/a
Fix: Add `shared: boolean` to the saved view, widen the subscription to `userId == me OR shared == true` within the workspace (two queries merged client-side, or one `visibility` field to keep it a single equality filter and one index), and update firestore.rules so only the author or a workspace admin may flip `shared` or delete a shared view. Show shared views in their own sidebar group with the author's name.
Where to see it: Sidebar → Saved views · Reports → Task table → Save as view
Risk of applying: Medium — Changes a read scope and firestore.rules, and needs a composite index; existing private views must stay private with no migration. Recommendation: Proceed.
Files: CLAUDE.md:89-93 · src/services/firebase.js:2201 · src/components/AppShell.jsx:337-384</t>
  </si>
  <si>
    <t xml:space="preserve">1. Given an admin marks a saved table view as shared
2. When another member of the workspace loads the app
3. Then the view appears in their sidebar under Shared views and opens with the same columns, grouping and sort</t>
  </si>
  <si>
    <t>CLAUDE.md:89-93 · src/services/firebase.js:2201 · src/components/AppShell.jsx:337-384</t>
  </si>
  <si>
    <t xml:space="preserve">Emulator tests that a member can read but not delete a shared view and cannot share someone else's; a round-trip test that the table config survives.
Run: npm test</t>
  </si>
  <si>
    <t>Sidebar → Saved views · Reports → Task table → Save as view</t>
  </si>
  <si>
    <t>T-0144</t>
  </si>
  <si>
    <t>POL-008</t>
  </si>
  <si>
    <t>Analytics and Work Performed produce no file at all</t>
  </si>
  <si>
    <t xml:space="preserve">A grep for `ExportButton` and for `downloadFile` across src/components returns nine and five files respectively; `AnalyticsView` and `WorkPerformedView` appear in neither. Analytics is the charts-and-trends page and Work Performed is the day-by-day matrix of who did what — both are reporting surfaces whose entire purpose is to be shown to somebody else, and neither can hand over a single file. The standing requirement is that the app generates output files wherever relevant, and it is hard to be more relevant than a report page.
Reproduction: Open Reports → Analytics, then Reports → Work Performed. Neither page header has an Export control.
Root cause: Both pages predate the exporter module and were not in the T-0047 wiring pass.
Fix: Add `ExportButton` to both. Work Performed exports the filtered matrix as a document (heading, the filter summary as keyValues, the day-by-day table) plus a `sheets:` array so Excel gets one sheet per project lane. Analytics exports the computed series as a table with the chart's own headings — the numbers are what people paste into a deck, and a PDF of the page is what they attach.
Where to see it: Reports → Analytics · Reports → Work Performed
Risk of applying: Low — Additive, two components plus two pure builders; no data written. Recommendation: Proceed.
Files: src/components/AnalyticsView.jsx:48 · src/components/WorkPerformedView.jsx:35-39 · src/services/exporters.js:31-41</t>
  </si>
  <si>
    <t xml:space="preserve">1. Given the Work Performed page filtered to one project and a date range
2. When the user exports to Excel
3. Then the workbook contains exactly the rows on screen, the filters are stated on the first sheet, and the file is named work-performed-YYYY-MM-DD.xlsx</t>
  </si>
  <si>
    <t>src/components/AnalyticsView.jsx:48 · src/components/WorkPerformedView.jsx:35-39 · src/services/exporters.js:31-41</t>
  </si>
  <si>
    <t xml:space="preserve">Add builder unit tests asserting the block list matches the on-screen filters, plus an exportButtons test that both pages render the control.
Run: npm test</t>
  </si>
  <si>
    <t>Reports → Analytics · Reports → Work Performed</t>
  </si>
  <si>
    <t>T-0145</t>
  </si>
  <si>
    <t>POL-009</t>
  </si>
  <si>
    <t>No PowerPoint export for the portfolio status report</t>
  </si>
  <si>
    <t xml:space="preserve">`EXPORT_FORMATS` covers xlsx, csv, docx, pdf, md, html and txt. There is no pptx. The Dashboard already builds a complete portfolio status report — headline numbers, a RAG table of every project, the overdue list, the blocker list, an optional AI narrative — and hands it to Word or PDF. The one thing a project manager is actually asked for on a Monday morning is a deck, and the document model (heading / paragraph / bullets / table / keyValues) maps onto slides almost directly: one heading block per slide, bullets and tables as the body.
Reproduction: Dashboard → Status report ▾. The menu offers Word, PDF, Markdown, web page and text — no slides.
Root cause: The format list was drawn from document and spreadsheet needs; presentations were not in scope for T-0046.
Fix: Add a `pptx` writer to exporters.js behind a dynamic import (pptxgenjs is the usual choice and is comparable in size to the existing three), mapping one `heading` block to a slide title and the blocks that follow it to that slide's body until the next heading. Register it under `kinds: ['document']` so the status report, minutes and goals pick it up with no per-page change.
Where to see it: Dashboard → Status report ▾ · Minutes → Export ▾ · Goals → Export ▾
Risk of applying: Medium — Adds a dependency; it must be a dynamic import or it lands in every page load, which is the documented pitfall for the other three libraries. Recommendation: Proceed.
Files: src/services/exporters.js:31-41 · src/services/statusReport.js · src/components/DashboardView.jsx:381-388</t>
  </si>
  <si>
    <t xml:space="preserve">1. Given the Dashboard status report
2. When the user exports to PowerPoint
3. Then a valid .pptx named status-report-YYYY-MM-DD.pptx downloads with one slide per heading and the RAG table rendered as a table</t>
  </si>
  <si>
    <t>src/services/exporters.js:31-41 · src/services/statusReport.js · src/components/DashboardView.jsx:381-388</t>
  </si>
  <si>
    <t xml:space="preserve">Follow the pattern already used for docx: decode the produced bytes, assert it is a zip containing ppt/presentation.xml, and assert the slide count equals the heading count.
Run: npm test</t>
  </si>
  <si>
    <t>Dashboard → Status report ▾ · Minutes → Export ▾ · Goals → Export ▾</t>
  </si>
  <si>
    <t>T-0146</t>
  </si>
  <si>
    <t>POL-017</t>
  </si>
  <si>
    <t>Settings contents list never follows the scroll</t>
  </si>
  <si>
    <t xml:space="preserve">The "On this page" sidebar sets `activeId` only inside `scrollTo`, which runs on click. Scrolling the long Settings page by hand — which is how anybody reading it will move — leaves the highlight on whatever was last clicked, or on the initial `'workspaces'` if nothing ever was. On a page with up to sixteen sections the contents list stops telling you where you are, which is its only job beyond jumping.
Reproduction: Open Settings and scroll to the bottom with the mouse wheel. The contents list still highlights Workspaces.
Root cause: The active state was wired to the navigation action rather than to scroll position.
Fix: Observe the section elements with a single `IntersectionObserver` (rootMargin biased to the top, e.g. `-20% 0px -70% 0px`) and set `activeId` to the topmost intersecting section. The How-to-Use page uses the same `htu-toc` markup and should get the same treatment from a shared hook.
Where to see it: Settings → On this page · How to Use → On this page
Risk of applying: Low — Presentation only; needs an IntersectionObserver stub in the test harness. Recommendation: Proceed.
Files: src/components/SettingsView.jsx:96-103 · src/components/SettingsView.jsx:264-272</t>
  </si>
  <si>
    <t xml:space="preserve">1. Given the Settings page scrolled to the Webhooks section
2. When the user looks at the contents list
3. Then Webhooks is the highlighted entry</t>
  </si>
  <si>
    <t>src/components/SettingsView.jsx:96-103 · src/components/SettingsView.jsx:264-272</t>
  </si>
  <si>
    <t xml:space="preserve">In jsdom, stub IntersectionObserver, fire an intersection for the third section and assert the corresponding TOC button has the active class.
Run: npm test</t>
  </si>
  <si>
    <t>Settings → On this page · How to Use → On this page</t>
  </si>
  <si>
    <t>T-0147</t>
  </si>
  <si>
    <t>NEW-013</t>
  </si>
  <si>
    <t>v0.5</t>
  </si>
  <si>
    <t>Inline editing in the task table — API/data layer</t>
  </si>
  <si>
    <t xml:space="preserve">The Task table can already show thirteen built-in columns plus every project's custom fields, group them, sort them and save the arrangement — but every cell is read-only and clicking a row opens the full-screen editor. Monday, Airtable and ClickUp all make the grid the fastest way to work: click a status cell, pick from a dropdown, move on. With `tableViews.js` already describing each column's display text and sort value, the missing piece is a per-column editor descriptor (select / date / text / number / assignee) and a single-field write. For this app specifically it turns the report page into the bulk-maintenance surface that plan-vs-actual dates badly need — filling in ten missing start dates currently means ten modal round trips.
Reproduction: n/a — new capability. Today, Reports → Task table renders every cell as static text.
Root cause: n/a — the table was specified as a report.
Fix: Add an optional `edit: { kind, options }` descriptor to each entry in the column catalogue, render an inline control when the cell is activated, and commit with `updateTask(id, { [field]: value })` using dotted paths for plan/actual. Escape cancels, Enter commits and moves down, Tab commits and moves right.
Where to see it: Reports → Task table
Risk of applying: Medium — New write path from a grid; must respect the per-project ACL and route status changes through the same helper as everywhere else, or actual dates and recurrence diverge again. Recommendation: Proceed.
Scope of this row: server-side changes only (routes, validation, database, spec). Leave the UI for the next row.</t>
  </si>
  <si>
    <t xml:space="preserve">1. Given the Task table with the Status column shown
2. When the user clicks a status cell and picks In progress
3. Then the task is updated, the actual start date is stamped as it would be elsewhere, and the row re-sorts if the sort is on that column</t>
  </si>
  <si>
    <t>src/services/tableViews.js · src/components/TasksTableView.jsx</t>
  </si>
  <si>
    <t xml:space="preserve">DOM tests per editor kind: open, change, commit with Enter, cancel with Escape, and a test that a read-only (viewer) role gets no editor.
Run: npm test</t>
  </si>
  <si>
    <t>T-0148</t>
  </si>
  <si>
    <t>Inline editing in the task table — UI</t>
  </si>
  <si>
    <t xml:space="preserve">The Task table can already show thirteen built-in columns plus every project's custom fields, group them, sort them and save the arrangement — but every cell is read-only and clicking a row opens the full-screen editor. Monday, Airtable and ClickUp all make the grid the fastest way to work: click a status cell, pick from a dropdown, move on. With `tableViews.js` already describing each column's display text and sort value, the missing piece is a per-column editor descriptor (select / date / text / number / assignee) and a single-field write. For this app specifically it turns the report page into the bulk-maintenance surface that plan-vs-actual dates badly need — filling in ten missing start dates currently means ten modal round trips.
Reproduction: n/a — new capability. Today, Reports → Task table renders every cell as static text.
Root cause: n/a — the table was specified as a report.
Fix: Add an optional `edit: { kind, options }` descriptor to each entry in the column catalogue, render an inline control when the cell is activated, and commit with `updateTask(id, { [field]: value })` using dotted paths for plan/actual. Escape cancels, Enter commits and moves down, Tab commits and moves right.
Where to see it: Reports → Task table
Risk of applying: Medium — New write path from a grid; must respect the per-project ACL and route status changes through the same helper as everywhere else, or actual dates and recurrence diverge again. Recommendation: Proceed.
Scope of this row: client-side changes (pages, components, styles) that use the API from T-0147. Plain-language inputs only.</t>
  </si>
  <si>
    <t>T-0149</t>
  </si>
  <si>
    <t>Inline editing in the task table — tests &amp; docs</t>
  </si>
  <si>
    <t>Add automated tests covering NEW-013 (API and, where possible, UI), update README.md/Implementation_plan.md status, append CHANGELOG.md.</t>
  </si>
  <si>
    <t>T-0147, T-0148</t>
  </si>
  <si>
    <t>T-0150</t>
  </si>
  <si>
    <t>NEW-014</t>
  </si>
  <si>
    <t>Keyboard-first task actions, Linear style — API/data layer</t>
  </si>
  <si>
    <t xml:space="preserve">Linear's defining property is that a task can be triaged without the mouse: hover or select a task, press `a` for assignee, `s` for status, `d` for due date, `p` for priority, each opening a small typeahead. Task Monitor already has the ingredients — a command palette, a dnd-kit board with a KeyboardSensor registered, an assignee picker, a dependency picker with the right typeahead shape — but no per-task shortcuts. For an owner running a whole portfolio single-handed, which is exactly this app's user, the time between "I know what this task needs" and "it is recorded" is the number that matters.
Reproduction: n/a — new capability. Today the only global shortcut is ⌘K.
Root cause: n/a
Fix: Introduce a focused-task concept on the Board and the Task table (arrow keys move it, a visible ring shows it), and a shared `&lt;QuickPick&gt;` popover reusing the DepPicker/AssigneePicker markup. Register the handlers on the board container, not on document, so they cannot collide with typing — and add a discoverable "?" shortcut sheet.
Where to see it: Kanban board · Reports → Task table
Risk of applying: Medium — Global-ish key handling is exactly what already broke Escape in this codebase; handlers must be container-scoped and must not stopPropagation. Recommendation: Proceed.
Scope of this row: server-side changes only (routes, validation, database, spec). Leave the UI for the next row.</t>
  </si>
  <si>
    <t xml:space="preserve">1. Given a task is focused on the board
2. When the user presses d and types "friday"
3. Then the due date is set to the coming Friday and a toast with Undo confirms it</t>
  </si>
  <si>
    <t>src/components/Board.jsx:83-86 · src/components/AppShell.jsx:469-485 · src/components/AssigneePicker.jsx</t>
  </si>
  <si>
    <t xml:space="preserve">DOM tests for focus movement, each shortcut opening the right picker, Escape closing without a write, and a test that the shortcuts do nothing while a text field has focus.
Run: npm test</t>
  </si>
  <si>
    <t>Kanban board · Reports → Task table</t>
  </si>
  <si>
    <t>T-0151</t>
  </si>
  <si>
    <t>Keyboard-first task actions, Linear style — UI</t>
  </si>
  <si>
    <t xml:space="preserve">Linear's defining property is that a task can be triaged without the mouse: hover or select a task, press `a` for assignee, `s` for status, `d` for due date, `p` for priority, each opening a small typeahead. Task Monitor already has the ingredients — a command palette, a dnd-kit board with a KeyboardSensor registered, an assignee picker, a dependency picker with the right typeahead shape — but no per-task shortcuts. For an owner running a whole portfolio single-handed, which is exactly this app's user, the time between "I know what this task needs" and "it is recorded" is the number that matters.
Reproduction: n/a — new capability. Today the only global shortcut is ⌘K.
Root cause: n/a
Fix: Introduce a focused-task concept on the Board and the Task table (arrow keys move it, a visible ring shows it), and a shared `&lt;QuickPick&gt;` popover reusing the DepPicker/AssigneePicker markup. Register the handlers on the board container, not on document, so they cannot collide with typing — and add a discoverable "?" shortcut sheet.
Where to see it: Kanban board · Reports → Task table
Risk of applying: Medium — Global-ish key handling is exactly what already broke Escape in this codebase; handlers must be container-scoped and must not stopPropagation. Recommendation: Proceed.
Scope of this row: client-side changes (pages, components, styles) that use the API from T-0150. Plain-language inputs only.</t>
  </si>
  <si>
    <t>T-0152</t>
  </si>
  <si>
    <t>Keyboard-first task actions, Linear style — tests &amp; docs</t>
  </si>
  <si>
    <t>Add automated tests covering NEW-014 (API and, where possible, UI), update README.md/Implementation_plan.md status, append CHANGELOG.md.</t>
  </si>
  <si>
    <t>T-0150, T-0151</t>
  </si>
  <si>
    <t>T-0153</t>
  </si>
  <si>
    <t>NEW-016</t>
  </si>
  <si>
    <t>Per-project custom statuses — API/data layer</t>
  </si>
  <si>
    <t xml:space="preserve">The board is hardcoded to todo / doing / done in `COLUMNS`, and so are the editor's dropdown, the Gantt's colouring, the dashboard's arithmetic and `setTaskStatus`. Monday, ClickUp and Asana all let each project name its own stages — Drafting / In review / Approved for a document project, Quoted / Scheduled / Installed for a field one. This app already has the right container for it: projects carry `phases[]` and `customFields[]`, so a `statuses[]` array on the project is the same shape, and `customFields.js` is the precedent for describing a project-scoped vocabulary once and reading it everywhere.
Reproduction: n/a — new capability. Every project's board shows the same three columns.
Root cause: n/a
Fix: Add `statuses: [{ id, label, kind: 'open'|'active'|'closed' }]` to the project, defaulting to the current three. Every place that asks "is this done?" asks `kind === 'closed'` instead of `status === 'done'`, so overdue, recurrence, the RAG arithmetic and the workload grid keep working for mixed-project boards. Route it through one pure `statuses.js` module the way custom fields were.
Where to see it: Projects → project editor · Kanban board
Risk of applying: High — Touches the meaning of `status` across the whole app including recurrence, counters, exports and the shared-snapshot field list; needs a default-preserving migration and full test coverage before it goes near real data. Recommendation: On-Hold.
Scope of this row: server-side changes only (routes, validation, database, spec). Leave the UI for the next row.</t>
  </si>
  <si>
    <t xml:space="preserve">1. Given a project with stages Drafting / In review / Approved
2. When its board is opened
3. Then those three columns appear, dragging into Approved stamps the actual end date, and the all-projects board still groups sensibly across differing vocabularies</t>
  </si>
  <si>
    <t>src/components/Board.jsx:35-39 · src/services/customFields.js · src/services/firebase.js:1153-1178</t>
  </si>
  <si>
    <t xml:space="preserve">Pure tests for the status vocabulary and the open/active/closed mapping; integration tests that overdue, recurrence spawning and the dashboard RAG all read the mapping rather than the literal 'done'.
Run: npm test</t>
  </si>
  <si>
    <t>Projects → project editor · Kanban board</t>
  </si>
  <si>
    <t>T-0154</t>
  </si>
  <si>
    <t>Per-project custom statuses — UI</t>
  </si>
  <si>
    <t xml:space="preserve">The board is hardcoded to todo / doing / done in `COLUMNS`, and so are the editor's dropdown, the Gantt's colouring, the dashboard's arithmetic and `setTaskStatus`. Monday, ClickUp and Asana all let each project name its own stages — Drafting / In review / Approved for a document project, Quoted / Scheduled / Installed for a field one. This app already has the right container for it: projects carry `phases[]` and `customFields[]`, so a `statuses[]` array on the project is the same shape, and `customFields.js` is the precedent for describing a project-scoped vocabulary once and reading it everywhere.
Reproduction: n/a — new capability. Every project's board shows the same three columns.
Root cause: n/a
Fix: Add `statuses: [{ id, label, kind: 'open'|'active'|'closed' }]` to the project, defaulting to the current three. Every place that asks "is this done?" asks `kind === 'closed'` instead of `status === 'done'`, so overdue, recurrence, the RAG arithmetic and the workload grid keep working for mixed-project boards. Route it through one pure `statuses.js` module the way custom fields were.
Where to see it: Projects → project editor · Kanban board
Risk of applying: High — Touches the meaning of `status` across the whole app including recurrence, counters, exports and the shared-snapshot field list; needs a default-preserving migration and full test coverage before it goes near real data. Recommendation: On-Hold.
Scope of this row: client-side changes (pages, components, styles) that use the API from T-0153. Plain-language inputs only.</t>
  </si>
  <si>
    <t>T-0155</t>
  </si>
  <si>
    <t>Per-project custom statuses — tests &amp; docs</t>
  </si>
  <si>
    <t>Add automated tests covering NEW-016 (API and, where possible, UI), update README.md/Implementation_plan.md status, append CHANGELOG.md.</t>
  </si>
  <si>
    <t>T-0153, T-0154</t>
  </si>
  <si>
    <t>T-0156</t>
  </si>
  <si>
    <t>NEW-018</t>
  </si>
  <si>
    <t>Critical path and slack on the Gantt — API/data layer</t>
  </si>
  <si>
    <t xml:space="preserve">The Gantt already stores `dependsOn` and draws real SVG dependency arrows, which is the hard half of the problem. What it does not do is answer the question those arrows exist for: which chain actually determines the finish date, and which tasks have slack. Monday, MS Project and Smartsheet all highlight it. Computing it is a topological pass over the same `taskRowByTaskId` map the arrow builder already assembles — forward pass for earliest start/finish, backward pass for latest, slack = latest − earliest, critical where slack is zero.
Reproduction: n/a — new capability. Dependency arrows are drawn today but carry no schedule meaning.
Root cause: n/a
Fix: Add a pure `services/criticalPath.js` taking the task list and returning `{ [taskId]: { earliestStart, latestStart, slackDays, critical } }`, with a cycle guard that degrades gracefully rather than looping. Render critical bars and arrows in a distinct tone with a printed key, show slack in the task editor's Blockers KPI, and put both in the task export.
Where to see it: Gantt chart · Task editor → Dependencies
Risk of applying: Low — Pure computation plus rendering; nothing is written and the cycle guard keeps a malformed graph from freezing the page. Recommendation: Proceed.
Scope of this row: server-side changes only (routes, validation, database, spec). Leave the UI for the next row.</t>
  </si>
  <si>
    <t xml:space="preserve">1. Given a four-task chain where one branch is two days shorter
2. When the Gantt renders
3. Then the longer branch is marked critical, the shorter branch shows two days of slack, and a dependency cycle produces a plain warning rather than a hang</t>
  </si>
  <si>
    <t>src/components/GanttView.jsx:292-311 · src/components/TaskEditor.jsx:136-144</t>
  </si>
  <si>
    <t xml:space="preserve">Pure unit tests over hand-built graphs: a straight chain, a diamond, a cycle, a task with no dates, and a dependency on a task outside the filtered window.
Run: npm test</t>
  </si>
  <si>
    <t>Gantt chart · Task editor → Dependencies</t>
  </si>
  <si>
    <t>T-0157</t>
  </si>
  <si>
    <t>Critical path and slack on the Gantt — UI</t>
  </si>
  <si>
    <t xml:space="preserve">The Gantt already stores `dependsOn` and draws real SVG dependency arrows, which is the hard half of the problem. What it does not do is answer the question those arrows exist for: which chain actually determines the finish date, and which tasks have slack. Monday, MS Project and Smartsheet all highlight it. Computing it is a topological pass over the same `taskRowByTaskId` map the arrow builder already assembles — forward pass for earliest start/finish, backward pass for latest, slack = latest − earliest, critical where slack is zero.
Reproduction: n/a — new capability. Dependency arrows are drawn today but carry no schedule meaning.
Root cause: n/a
Fix: Add a pure `services/criticalPath.js` taking the task list and returning `{ [taskId]: { earliestStart, latestStart, slackDays, critical } }`, with a cycle guard that degrades gracefully rather than looping. Render critical bars and arrows in a distinct tone with a printed key, show slack in the task editor's Blockers KPI, and put both in the task export.
Where to see it: Gantt chart · Task editor → Dependencies
Risk of applying: Low — Pure computation plus rendering; nothing is written and the cycle guard keeps a malformed graph from freezing the page. Recommendation: Proceed.
Scope of this row: client-side changes (pages, components, styles) that use the API from T-0156. Plain-language inputs only.</t>
  </si>
  <si>
    <t>T-0158</t>
  </si>
  <si>
    <t>Critical path and slack on the Gantt — tests &amp; docs</t>
  </si>
  <si>
    <t>Add automated tests covering NEW-018 (API and, where possible, UI), update README.md/Implementation_plan.md status, append CHANGELOG.md.</t>
  </si>
  <si>
    <t>T-0156, T-0157</t>
  </si>
  <si>
    <t>T-0159</t>
  </si>
  <si>
    <t>NEW-021</t>
  </si>
  <si>
    <t>A digest automation, replacing the daily check-in — API/data layer</t>
  </si>
  <si>
    <t xml:space="preserve">The automation runner performs update / create-follow-up / notify on a per-task trigger. What every benchmark also offers, and what an owner running a portfolio actually wants, is a scheduled digest: "every weekday at 8, tell me what is overdue and what is due today". The ingredients exist — `buildDigest` computes exactly that content for the Ask AI page and the status report, the notifications collection is the delivery surface, and webhooks already reach Slack. The missing piece is a time trigger rather than a document trigger.
Reproduction: n/a — new capability. Settings → Automations offers only event triggers.
Root cause: n/a
Fix: Add a scheduled function (`onSchedule`, one invocation covering all workspaces) alongside the existing document triggers, with a `schedule` trigger kind in the shared pure vocabulary so the editor and the runner stay one list. Deliver as a `notifications` document — the inbox already renders those — and optionally to a configured webhook. Note this needs the same Blaze-plan deployment the existing functions need, which is the exclusion to state plainly in the UI.
Where to see it: Settings → Automations · topbar inbox
Risk of applying: High — Needs a new Cloud Function on the Blaze plan and writes notices to many users; must be idempotent per period or a retry spams everybody. Recommendation: On-Hold.
Scope of this row: server-side changes only (routes, validation, database, spec). Leave the UI for the next row.</t>
  </si>
  <si>
    <t xml:space="preserve">1. Given a weekday 08:00 digest rule for a workspace
2. When the schedule fires
3. Then one notice lands in each subscriber's inbox naming the overdue and due-today counts, and a second run the same morning does not duplicate it</t>
  </si>
  <si>
    <t>CLAUDE.md:63 · functions/src/automations.js · src/services/askAi.js · src/services/statusReport.js</t>
  </si>
  <si>
    <t xml:space="preserve">Pure tests for the digest content builder and for the once-per-period idempotency key; a rules test that a browser cannot forge a digest notice.
Run: npm test</t>
  </si>
  <si>
    <t>Settings → Automations · topbar inbox</t>
  </si>
  <si>
    <t>T-0160</t>
  </si>
  <si>
    <t>A digest automation, replacing the daily check-in — UI</t>
  </si>
  <si>
    <t xml:space="preserve">The automation runner performs update / create-follow-up / notify on a per-task trigger. What every benchmark also offers, and what an owner running a portfolio actually wants, is a scheduled digest: "every weekday at 8, tell me what is overdue and what is due today". The ingredients exist — `buildDigest` computes exactly that content for the Ask AI page and the status report, the notifications collection is the delivery surface, and webhooks already reach Slack. The missing piece is a time trigger rather than a document trigger.
Reproduction: n/a — new capability. Settings → Automations offers only event triggers.
Root cause: n/a
Fix: Add a scheduled function (`onSchedule`, one invocation covering all workspaces) alongside the existing document triggers, with a `schedule` trigger kind in the shared pure vocabulary so the editor and the runner stay one list. Deliver as a `notifications` document — the inbox already renders those — and optionally to a configured webhook. Note this needs the same Blaze-plan deployment the existing functions need, which is the exclusion to state plainly in the UI.
Where to see it: Settings → Automations · topbar inbox
Risk of applying: High — Needs a new Cloud Function on the Blaze plan and writes notices to many users; must be idempotent per period or a retry spams everybody. Recommendation: On-Hold.
Scope of this row: client-side changes (pages, components, styles) that use the API from T-0159. Plain-language inputs only.</t>
  </si>
  <si>
    <t>T-0161</t>
  </si>
  <si>
    <t>A digest automation, replacing the daily check-in — tests &amp; docs</t>
  </si>
  <si>
    <t>Add automated tests covering NEW-021 (API and, where possible, UI), update README.md/Implementation_plan.md status, append CHANGELOG.md.</t>
  </si>
  <si>
    <t>T-0159, T-0160</t>
  </si>
  <si>
    <t>T-0162</t>
  </si>
  <si>
    <t>NEW-022</t>
  </si>
  <si>
    <t>Comment threads you can reply to and resolve</t>
  </si>
  <si>
    <t xml:space="preserve">Comments are a flat list: post, edit, delete. There is no reply, no thread and no way to mark a discussion settled, so a task that has been argued over for two weeks shows twenty equal-weight comments and no conclusion. Linear and Notion both thread and resolve; Asana marks a comment as the one that answered the question. The mention machinery is already built and tested (`mentions.js`, the inbox, the @-picker), so the addition is structural — a `parentId` and a `resolved` flag — rather than a new subsystem.
Reproduction: n/a — new capability. The comments section renders one flat `&lt;ul&gt;`.
Root cause: n/a
Fix: Add `parentId` and `resolved` to `taskComments`, render one level of nesting (deeper is noise on a task), and collapse resolved threads behind a "2 resolved" line. Raise mentions from a reply to the whole thread's participants, not just the workspace, via the existing `raiseNotices`. Update firestore.rules so only the thread's author or a project admin may resolve.
Where to see it: Task editor → Comments
Risk of applying: Medium — Schema addition plus a firestore.rules change; existing flat comments must keep rendering as top-level entries with no migration. Recommendation: Proceed.
Files: src/services/firebase.js:1898 · src/components/TaskEditor.jsx:1167-1265 · src/services/mentions.js</t>
  </si>
  <si>
    <t xml:space="preserve">1. Given a comment with two replies
2. When the author resolves the thread
3. Then it collapses to a one-line summary, stays expandable, and everyone who took part was notified of the replies but not of the resolution</t>
  </si>
  <si>
    <t>src/services/firebase.js:1898 · src/components/TaskEditor.jsx:1167-1265 · src/services/mentions.js</t>
  </si>
  <si>
    <t xml:space="preserve">Pure tests for thread assembly and participant resolution; emulator tests that a non-participant, non-admin cannot resolve.
Run: npm test</t>
  </si>
  <si>
    <t>Task editor → Comments</t>
  </si>
  <si>
    <t>T-0163</t>
  </si>
  <si>
    <t>NEW-023</t>
  </si>
  <si>
    <t>Cycles with a burndown — API/data layer</t>
  </si>
  <si>
    <t xml:space="preserve">Linear's cycles are the reason its users know whether a week went well. This app measures effort (hours) and lateness (dates) but has no bounded period to measure completion against, so "are we ahead or behind" is only ever answered per project by the Dashboard's elapsed-versus-done notch. A cycle — a named fortnight with a set of tasks and a burndown — turns the activity log the app already keeps into a trend. Everything needed is stored: `actual.endDate` per task and dated activities give the burndown line for free.
Reproduction: n/a — new capability. Progress is measured per project against its own span, never against a fixed period.
Root cause: n/a
Fix: Add a `cycles` collection (workspace-scoped, with rules) holding `{ name, startDate, endDate }` and a `cycleId` on the task. Compute the burndown purely from tasks' `actual.endDate` within the window; add a cycle picker to the board header and a cycle summary to Review. Keep it optional — a personal workspace should never be forced into sprints.
Where to see it: New — Board header cycle picker · Review → Cycle summary
Risk of applying: High — New Firestore collection, which the project's own rules forbid shipping without matching firestore.rules, plus a field on the task document. Recommendation: On-Hold.
Scope of this row: server-side changes only (routes, validation, database, spec). Leave the UI for the next row.</t>
  </si>
  <si>
    <t xml:space="preserve">1. Given a cycle running 1–14 October with ten tasks
2. When four are completed by the 7th
3. Then the burndown shows the ideal and actual lines, and tasks not finished by the 14th are offered for carry-over into the next cycle</t>
  </si>
  <si>
    <t>src/components/DashboardView.jsx:210-235 · src/components/AnalyticsView.jsx · CLAUDE.md:45-59</t>
  </si>
  <si>
    <t xml:space="preserve">Pure tests for the burndown series (including a task completed outside the window and one deleted mid-cycle); a rules test for the new collection.
Run: npm test</t>
  </si>
  <si>
    <t>New — Board header cycle picker · Review → Cycle summary</t>
  </si>
  <si>
    <t>T-0164</t>
  </si>
  <si>
    <t>Cycles with a burndown — UI</t>
  </si>
  <si>
    <t xml:space="preserve">Linear's cycles are the reason its users know whether a week went well. This app measures effort (hours) and lateness (dates) but has no bounded period to measure completion against, so "are we ahead or behind" is only ever answered per project by the Dashboard's elapsed-versus-done notch. A cycle — a named fortnight with a set of tasks and a burndown — turns the activity log the app already keeps into a trend. Everything needed is stored: `actual.endDate` per task and dated activities give the burndown line for free.
Reproduction: n/a — new capability. Progress is measured per project against its own span, never against a fixed period.
Root cause: n/a
Fix: Add a `cycles` collection (workspace-scoped, with rules) holding `{ name, startDate, endDate }` and a `cycleId` on the task. Compute the burndown purely from tasks' `actual.endDate` within the window; add a cycle picker to the board header and a cycle summary to Review. Keep it optional — a personal workspace should never be forced into sprints.
Where to see it: New — Board header cycle picker · Review → Cycle summary
Risk of applying: High — New Firestore collection, which the project's own rules forbid shipping without matching firestore.rules, plus a field on the task document. Recommendation: On-Hold.
Scope of this row: client-side changes (pages, components, styles) that use the API from T-0163. Plain-language inputs only.</t>
  </si>
  <si>
    <t>T-0165</t>
  </si>
  <si>
    <t>Cycles with a burndown — tests &amp; docs</t>
  </si>
  <si>
    <t>Add automated tests covering NEW-023 (API and, where possible, UI), update README.md/Implementation_plan.md status, append CHANGELOG.md.</t>
  </si>
  <si>
    <t>T-0163, T-0164</t>
  </si>
  <si>
    <t>T-0166</t>
  </si>
  <si>
    <t>NEW-027</t>
  </si>
  <si>
    <t>Offline queue with a visible pending state</t>
  </si>
  <si>
    <t xml:space="preserve">`useOnline` drives an "⚡ Offline" badge in the topbar whose tooltip promises "Changes will sync when you reconnect" — which is true, because Firestore buffers writes, but the app shows no evidence of it. A user who logs three activities on a train sees them appear, sees the offline badge, and has nothing telling them whether those three writes are safe or lost. Linear made the visible pending/synced state part of its identity for exactly this reason.
Reproduction: n/a — partial capability. Go offline, log two activities: the badge shows offline but nothing shows two writes pending.
Root cause: n/a
Fix: Count pending writes using the Firestore snapshot metadata already available (`snapshot.metadata.hasPendingWrites`) in the shared subscriptions, expose the total from `sharedSubscription.js`, and render "⚡ Offline · 2 changes waiting" — turning to "All changes saved" briefly on reconnect. No new persistence layer; the SDK is already doing the work.
Where to see it: Topbar → offline badge
Risk of applying: Low — Reads metadata the SDK already delivers; presentation only, no change to write behaviour. Recommendation: Proceed.
Files: src/components/AppShell.jsx:232-236 · src/hooks/useOnline.js</t>
  </si>
  <si>
    <t xml:space="preserve">1. Given the device is offline and the user logs two activities
2. When they look at the topbar
3. Then it says two changes are waiting, and on reconnect it confirms they were saved</t>
  </si>
  <si>
    <t>src/components/AppShell.jsx:232-236 · src/hooks/useOnline.js</t>
  </si>
  <si>
    <t xml:space="preserve">Drive the shared subscription with fake snapshots carrying hasPendingWrites true then false, and assert the badge text transitions correctly.
Run: npm test</t>
  </si>
  <si>
    <t>Topbar → offline badge</t>
  </si>
  <si>
    <t>T-0167</t>
  </si>
  <si>
    <t>NEW-028</t>
  </si>
  <si>
    <t>Installable app with an offline shell</t>
  </si>
  <si>
    <t xml:space="preserve">There is a service worker at `public/sw.js`, registered on boot, used only to display notifications. There is no manifest, no install prompt and no precached shell, so on a phone the app is a browser tab that shows nothing at all with no signal. Given that the sidebar already collapses under 720px, a bottom tab bar already exists, and the whole backend is Firestore with its own offline cache, the remaining distance to a genuinely installable app is a web manifest and a cache-first shell strategy.
Reproduction: n/a — partial capability. Open the deployed site on a phone in airplane mode: a browser error page, not the app shell.
Root cause: n/a — the service worker was added for notifications only.
Fix: Add a web app manifest (name, icons, theme colour, `display: standalone`, `start_url` matching the hosting base) and extend sw.js to precache the built shell — index.html plus the hashed assets — with a network-first strategy for index.html so the no-cache header keeps doing its job and a stale deploy never sticks. Add an unobtrusive install prompt behind `beforeinstallprompt`.
Where to see it: Whole app — install prompt and offline launch
Risk of applying: Medium — A precaching service worker is the classic way to ship a stale build to every user; index.html must stay network-first and the existing no-cache headers must be respected. Recommendation: Proceed.
Files: src/hooks/useNotifications.js:27-42 · public/sw.js · src/components/AppShell.jsx:727-751</t>
  </si>
  <si>
    <t xml:space="preserve">1. Given the deployed app opened on a phone
2. When the user installs it and later opens it with no connection
3. Then the shell renders and shows the locally cached workspace data rather than a browser error</t>
  </si>
  <si>
    <t>src/hooks/useNotifications.js:27-42 · public/sw.js · src/components/AppShell.jsx:727-751</t>
  </si>
  <si>
    <t xml:space="preserve">Verify with a Lighthouse PWA audit on a preview channel, and manually confirm that a fresh deploy is picked up rather than served from a stale cache.
Run: npm test</t>
  </si>
  <si>
    <t>Whole app — install prompt and offline launch</t>
  </si>
  <si>
    <t>Task Monitor — task sheet summary</t>
  </si>
  <si>
    <t>Release v0.2 · generated 2026-09-21 by Ideon</t>
  </si>
  <si>
    <t>Total tasks</t>
  </si>
  <si>
    <t>Done (YES)</t>
  </si>
  <si>
    <t>Blocked</t>
  </si>
  <si>
    <t>On-Hold (needs your review)</t>
  </si>
  <si>
    <t>% done</t>
  </si>
  <si>
    <t>Total estimated AI cost (USD)</t>
  </si>
  <si>
    <t>By release</t>
  </si>
  <si>
    <t>Tasks</t>
  </si>
  <si>
    <t>Done</t>
  </si>
  <si>
    <t>By priority</t>
  </si>
  <si>
    <t>By category</t>
  </si>
  <si>
    <t>By area</t>
  </si>
  <si>
    <t>By risk of applying</t>
  </si>
  <si>
    <t>By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</si>
</sst>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7" x14ac:knownFonts="1">
    <font>
      <color theme="1"/>
      <family val="2"/>
      <scheme val="minor"/>
      <sz val="11"/>
      <name val="Calibri"/>
    </font>
    <font>
      <b/>
      <color rgb="FFFFFFFF"/>
    </font>
    <font>
      <b/>
      <color rgb="FFB91C1C"/>
    </font>
    <font>
      <b/>
      <color rgb="FFB45309"/>
    </font>
    <font>
      <b/>
      <sz val="14"/>
    </font>
    <font>
      <i/>
      <color rgb="FF6B7280"/>
    </font>
    <font>
      <b/>
    </font>
  </fonts>
  <fills count="7">
    <fill>
      <patternFill patternType="none"/>
    </fill>
    <fill>
      <patternFill patternType="gray125"/>
    </fill>
    <fill>
      <patternFill patternType="solid">
        <fgColor rgb="FF5B5BD6"/>
      </patternFill>
    </fill>
    <fill>
      <patternFill patternType="solid">
        <fgColor rgb="FFD1FAE5"/>
      </patternFill>
    </fill>
    <fill>
      <patternFill patternType="solid">
        <fgColor rgb="FFFEE2E2"/>
      </patternFill>
    </fill>
    <fill>
      <patternFill patternType="solid">
        <fgColor rgb="FFFEF3C7"/>
      </patternFill>
    </fill>
    <fill>
      <patternFill patternType="solid">
        <fgColor rgb="FFEEF0FF"/>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vertical="center" wrapText="1"/>
    </xf>
    <xf numFmtId="0" fontId="0" fillId="0" borderId="0" xfId="0" applyAlignment="1">
      <alignment vertical="top"/>
    </xf>
    <xf numFmtId="0" fontId="2" fillId="0" borderId="0" xfId="0" applyFont="1" applyAlignment="1">
      <alignment vertical="top"/>
    </xf>
    <xf numFmtId="0" fontId="0" fillId="0" borderId="0" xfId="0" applyAlignment="1">
      <alignment vertical="top" wrapText="1"/>
    </xf>
    <xf numFmtId="0" fontId="0" fillId="3" borderId="0" xfId="0" applyFill="1" applyAlignment="1">
      <alignment vertical="top"/>
    </xf>
    <xf numFmtId="0" fontId="0" fillId="4" borderId="0" xfId="0" applyFill="1" applyAlignment="1">
      <alignment vertical="top"/>
    </xf>
    <xf numFmtId="164" fontId="0" fillId="0" borderId="0" xfId="0" applyNumberFormat="1" applyAlignment="1">
      <alignment vertical="top"/>
    </xf>
    <xf numFmtId="0" fontId="0" fillId="5" borderId="0" xfId="0" applyFill="1" applyAlignment="1">
      <alignment vertical="top"/>
    </xf>
    <xf numFmtId="0" fontId="3" fillId="5" borderId="0" xfId="0" applyFont="1" applyFill="1" applyAlignment="1">
      <alignment vertical="top"/>
    </xf>
    <xf numFmtId="0" fontId="4" fillId="0" borderId="0" xfId="0" applyFont="1"/>
    <xf numFmtId="0" fontId="5" fillId="0" borderId="0" xfId="0" applyFont="1"/>
    <xf numFmtId="0" fontId="6" fillId="0" borderId="0" xfId="0" applyFont="1"/>
    <xf numFmtId="9" fontId="6" fillId="0" borderId="0" xfId="0" applyNumberFormat="1" applyFont="1"/>
    <xf numFmtId="164" fontId="6" fillId="0" borderId="0" xfId="0" applyNumberFormat="1" applyFont="1"/>
    <xf numFmtId="0" fontId="6" fillId="6"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8"/>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1" customWidth="1"/>
    <col min="5" max="5" width="16" customWidth="1"/>
    <col min="6" max="6" width="8" customWidth="1"/>
    <col min="7" max="7" width="38" customWidth="1"/>
    <col min="8" max="8" width="70" customWidth="1"/>
    <col min="9" max="9" width="55" customWidth="1"/>
    <col min="10" max="10" width="36" customWidth="1"/>
    <col min="11" max="11" width="16" customWidth="1"/>
    <col min="13" max="13" width="55" customWidth="1"/>
    <col min="15" max="15" width="40" customWidth="1"/>
    <col min="16" max="16" width="28" customWidth="1"/>
    <col min="18" max="19" width="15" customWidth="1"/>
  </cols>
  <sheetData>
    <row r="1" ht="22" customHeight="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s="2" customFormat="1" x14ac:dyDescent="0.25">
      <c r="A2" s="2" t="s">
        <v>19</v>
      </c>
      <c r="B2" s="2" t="s">
        <v>20</v>
      </c>
      <c r="C2" s="2" t="s">
        <v>21</v>
      </c>
      <c r="D2" s="3" t="s">
        <v>22</v>
      </c>
      <c r="E2" s="2" t="s">
        <v>23</v>
      </c>
      <c r="F2" s="2" t="s">
        <v>24</v>
      </c>
      <c r="G2" s="2" t="s">
        <v>25</v>
      </c>
      <c r="H2" s="4" t="s">
        <v>26</v>
      </c>
      <c r="I2" s="4" t="s">
        <v>27</v>
      </c>
      <c r="J2" s="4" t="s">
        <v>28</v>
      </c>
      <c r="K2" s="2" t="s">
        <v>29</v>
      </c>
      <c r="L2" s="2" t="s">
        <v>30</v>
      </c>
      <c r="M2" s="4" t="s">
        <v>31</v>
      </c>
      <c r="N2" s="5" t="s">
        <v>32</v>
      </c>
      <c r="O2" s="4" t="s">
        <v>33</v>
      </c>
      <c r="P2" s="4" t="s">
        <v>34</v>
      </c>
      <c r="Q2" s="6" t="s">
        <v>35</v>
      </c>
      <c r="R2" s="2" t="s">
        <v>36</v>
      </c>
      <c r="S2" s="7">
        <v>2.8</v>
      </c>
    </row>
    <row r="3" spans="1:19" s="2" customFormat="1" x14ac:dyDescent="0.25">
      <c r="A3" s="2" t="s">
        <v>37</v>
      </c>
      <c r="B3" s="2" t="s">
        <v>38</v>
      </c>
      <c r="C3" s="2" t="s">
        <v>21</v>
      </c>
      <c r="D3" s="3" t="s">
        <v>22</v>
      </c>
      <c r="E3" s="2" t="s">
        <v>39</v>
      </c>
      <c r="F3" s="2" t="s">
        <v>24</v>
      </c>
      <c r="G3" s="2" t="s">
        <v>40</v>
      </c>
      <c r="H3" s="4" t="s">
        <v>41</v>
      </c>
      <c r="I3" s="4" t="s">
        <v>42</v>
      </c>
      <c r="J3" s="4" t="s">
        <v>43</v>
      </c>
      <c r="K3" s="2" t="s">
        <v>29</v>
      </c>
      <c r="L3" s="2" t="s">
        <v>44</v>
      </c>
      <c r="M3" s="4" t="s">
        <v>45</v>
      </c>
      <c r="N3" s="5" t="s">
        <v>32</v>
      </c>
      <c r="O3" s="4" t="s">
        <v>46</v>
      </c>
      <c r="P3" s="4" t="s">
        <v>47</v>
      </c>
      <c r="Q3" s="6" t="s">
        <v>35</v>
      </c>
      <c r="R3" s="2" t="s">
        <v>36</v>
      </c>
      <c r="S3" s="7">
        <v>2.6</v>
      </c>
    </row>
    <row r="4" spans="1:19" s="2" customFormat="1" x14ac:dyDescent="0.25">
      <c r="A4" s="2" t="s">
        <v>48</v>
      </c>
      <c r="B4" s="2" t="s">
        <v>38</v>
      </c>
      <c r="C4" s="2" t="s">
        <v>21</v>
      </c>
      <c r="D4" s="3" t="s">
        <v>22</v>
      </c>
      <c r="E4" s="2" t="s">
        <v>39</v>
      </c>
      <c r="F4" s="2" t="s">
        <v>24</v>
      </c>
      <c r="G4" s="2" t="s">
        <v>49</v>
      </c>
      <c r="H4" s="4" t="s">
        <v>50</v>
      </c>
      <c r="I4" s="4" t="s">
        <v>42</v>
      </c>
      <c r="J4" s="4" t="s">
        <v>43</v>
      </c>
      <c r="K4" s="2" t="s">
        <v>37</v>
      </c>
      <c r="L4" s="2" t="s">
        <v>44</v>
      </c>
      <c r="M4" s="4" t="s">
        <v>45</v>
      </c>
      <c r="N4" s="5" t="s">
        <v>32</v>
      </c>
      <c r="O4" s="4" t="s">
        <v>51</v>
      </c>
      <c r="P4" s="4" t="s">
        <v>47</v>
      </c>
      <c r="Q4" s="6" t="s">
        <v>35</v>
      </c>
      <c r="R4" s="2" t="s">
        <v>36</v>
      </c>
      <c r="S4" s="7">
        <v>1.9</v>
      </c>
    </row>
    <row r="5" spans="1:19" s="2" customFormat="1" x14ac:dyDescent="0.25">
      <c r="A5" s="2" t="s">
        <v>52</v>
      </c>
      <c r="B5" s="2" t="s">
        <v>38</v>
      </c>
      <c r="C5" s="2" t="s">
        <v>21</v>
      </c>
      <c r="D5" s="3" t="s">
        <v>22</v>
      </c>
      <c r="E5" s="2" t="s">
        <v>53</v>
      </c>
      <c r="F5" s="2" t="s">
        <v>24</v>
      </c>
      <c r="G5" s="2" t="s">
        <v>54</v>
      </c>
      <c r="H5" s="4" t="s">
        <v>55</v>
      </c>
      <c r="I5" s="4" t="s">
        <v>42</v>
      </c>
      <c r="J5" s="4" t="s">
        <v>56</v>
      </c>
      <c r="K5" s="2" t="s">
        <v>57</v>
      </c>
      <c r="L5" s="2" t="s">
        <v>30</v>
      </c>
      <c r="M5" s="4" t="s">
        <v>58</v>
      </c>
      <c r="N5" s="5" t="s">
        <v>32</v>
      </c>
      <c r="O5" s="4" t="s">
        <v>59</v>
      </c>
      <c r="P5" s="4" t="s">
        <v>47</v>
      </c>
      <c r="Q5" s="2" t="s">
        <v>60</v>
      </c>
      <c r="R5" s="2" t="s">
        <v>36</v>
      </c>
      <c r="S5" s="7">
        <v>0.55</v>
      </c>
    </row>
    <row r="6" spans="1:19" s="2" customFormat="1" x14ac:dyDescent="0.25">
      <c r="A6" s="2" t="s">
        <v>61</v>
      </c>
      <c r="B6" s="2" t="s">
        <v>62</v>
      </c>
      <c r="C6" s="2" t="s">
        <v>21</v>
      </c>
      <c r="D6" s="3" t="s">
        <v>22</v>
      </c>
      <c r="E6" s="2" t="s">
        <v>23</v>
      </c>
      <c r="F6" s="2" t="s">
        <v>24</v>
      </c>
      <c r="G6" s="2" t="s">
        <v>63</v>
      </c>
      <c r="H6" s="4" t="s">
        <v>64</v>
      </c>
      <c r="I6" s="4" t="s">
        <v>65</v>
      </c>
      <c r="J6" s="4" t="s">
        <v>66</v>
      </c>
      <c r="K6" s="2" t="s">
        <v>29</v>
      </c>
      <c r="L6" s="2" t="s">
        <v>44</v>
      </c>
      <c r="M6" s="4" t="s">
        <v>67</v>
      </c>
      <c r="N6" s="5" t="s">
        <v>32</v>
      </c>
      <c r="O6" s="4" t="s">
        <v>68</v>
      </c>
      <c r="P6" s="4" t="s">
        <v>69</v>
      </c>
      <c r="Q6" s="6" t="s">
        <v>35</v>
      </c>
      <c r="R6" s="2" t="s">
        <v>36</v>
      </c>
      <c r="S6" s="7">
        <v>2.2</v>
      </c>
    </row>
    <row r="7" spans="1:19" s="2" customFormat="1" x14ac:dyDescent="0.25">
      <c r="A7" s="2" t="s">
        <v>70</v>
      </c>
      <c r="B7" s="2" t="s">
        <v>71</v>
      </c>
      <c r="C7" s="2" t="s">
        <v>21</v>
      </c>
      <c r="D7" s="2" t="s">
        <v>72</v>
      </c>
      <c r="E7" s="2" t="s">
        <v>23</v>
      </c>
      <c r="F7" s="2" t="s">
        <v>73</v>
      </c>
      <c r="G7" s="2" t="s">
        <v>74</v>
      </c>
      <c r="H7" s="4" t="s">
        <v>75</v>
      </c>
      <c r="I7" s="4" t="s">
        <v>76</v>
      </c>
      <c r="J7" s="4" t="s">
        <v>77</v>
      </c>
      <c r="K7" s="2" t="s">
        <v>29</v>
      </c>
      <c r="L7" s="2" t="s">
        <v>30</v>
      </c>
      <c r="M7" s="4" t="s">
        <v>78</v>
      </c>
      <c r="N7" s="5" t="s">
        <v>32</v>
      </c>
      <c r="O7" s="4" t="s">
        <v>79</v>
      </c>
      <c r="P7" s="4" t="s">
        <v>80</v>
      </c>
      <c r="Q7" s="6" t="s">
        <v>35</v>
      </c>
      <c r="R7" s="2" t="s">
        <v>36</v>
      </c>
      <c r="S7" s="7">
        <v>1.6</v>
      </c>
    </row>
    <row r="8" spans="1:19" s="2" customFormat="1" x14ac:dyDescent="0.25">
      <c r="A8" s="2" t="s">
        <v>81</v>
      </c>
      <c r="B8" s="2" t="s">
        <v>82</v>
      </c>
      <c r="C8" s="2" t="s">
        <v>21</v>
      </c>
      <c r="D8" s="2" t="s">
        <v>72</v>
      </c>
      <c r="E8" s="2" t="s">
        <v>39</v>
      </c>
      <c r="F8" s="2" t="s">
        <v>83</v>
      </c>
      <c r="G8" s="2" t="s">
        <v>84</v>
      </c>
      <c r="H8" s="4" t="s">
        <v>85</v>
      </c>
      <c r="I8" s="4" t="s">
        <v>86</v>
      </c>
      <c r="J8" s="4" t="s">
        <v>87</v>
      </c>
      <c r="K8" s="2" t="s">
        <v>29</v>
      </c>
      <c r="L8" s="2" t="s">
        <v>30</v>
      </c>
      <c r="M8" s="4" t="s">
        <v>88</v>
      </c>
      <c r="N8" s="5" t="s">
        <v>32</v>
      </c>
      <c r="O8" s="4" t="s">
        <v>89</v>
      </c>
      <c r="P8" s="4" t="s">
        <v>90</v>
      </c>
      <c r="Q8" s="6" t="s">
        <v>35</v>
      </c>
      <c r="R8" s="2" t="s">
        <v>36</v>
      </c>
      <c r="S8" s="7">
        <v>2.4</v>
      </c>
    </row>
    <row r="9" spans="1:19" s="2" customFormat="1" x14ac:dyDescent="0.25">
      <c r="A9" s="2" t="s">
        <v>91</v>
      </c>
      <c r="B9" s="2" t="s">
        <v>92</v>
      </c>
      <c r="C9" s="2" t="s">
        <v>21</v>
      </c>
      <c r="D9" s="2" t="s">
        <v>72</v>
      </c>
      <c r="E9" s="2" t="s">
        <v>93</v>
      </c>
      <c r="F9" s="2" t="s">
        <v>94</v>
      </c>
      <c r="G9" s="2" t="s">
        <v>95</v>
      </c>
      <c r="H9" s="4" t="s">
        <v>96</v>
      </c>
      <c r="I9" s="4" t="s">
        <v>97</v>
      </c>
      <c r="J9" s="4" t="s">
        <v>98</v>
      </c>
      <c r="K9" s="2" t="s">
        <v>29</v>
      </c>
      <c r="L9" s="2" t="s">
        <v>30</v>
      </c>
      <c r="M9" s="4" t="s">
        <v>99</v>
      </c>
      <c r="N9" s="5" t="s">
        <v>32</v>
      </c>
      <c r="O9" s="4" t="s">
        <v>100</v>
      </c>
      <c r="P9" s="4" t="s">
        <v>101</v>
      </c>
      <c r="Q9" s="2" t="s">
        <v>60</v>
      </c>
      <c r="R9" s="2" t="s">
        <v>36</v>
      </c>
      <c r="S9" s="7">
        <v>1.8</v>
      </c>
    </row>
    <row r="10" spans="1:19" s="2" customFormat="1" x14ac:dyDescent="0.25">
      <c r="A10" s="2" t="s">
        <v>102</v>
      </c>
      <c r="B10" s="2" t="s">
        <v>103</v>
      </c>
      <c r="C10" s="2" t="s">
        <v>21</v>
      </c>
      <c r="D10" s="2" t="s">
        <v>72</v>
      </c>
      <c r="E10" s="2" t="s">
        <v>93</v>
      </c>
      <c r="F10" s="2" t="s">
        <v>53</v>
      </c>
      <c r="G10" s="2" t="s">
        <v>104</v>
      </c>
      <c r="H10" s="4" t="s">
        <v>105</v>
      </c>
      <c r="I10" s="4" t="s">
        <v>106</v>
      </c>
      <c r="J10" s="4" t="s">
        <v>107</v>
      </c>
      <c r="K10" s="2" t="s">
        <v>29</v>
      </c>
      <c r="L10" s="2" t="s">
        <v>44</v>
      </c>
      <c r="M10" s="4" t="s">
        <v>108</v>
      </c>
      <c r="N10" s="5" t="s">
        <v>32</v>
      </c>
      <c r="O10" s="4" t="s">
        <v>109</v>
      </c>
      <c r="P10" s="4" t="s">
        <v>110</v>
      </c>
      <c r="Q10" s="2" t="s">
        <v>60</v>
      </c>
      <c r="R10" s="2" t="s">
        <v>36</v>
      </c>
      <c r="S10" s="7">
        <v>2.3</v>
      </c>
    </row>
    <row r="11" spans="1:19" s="2" customFormat="1" x14ac:dyDescent="0.25">
      <c r="A11" s="2" t="s">
        <v>111</v>
      </c>
      <c r="B11" s="2" t="s">
        <v>103</v>
      </c>
      <c r="C11" s="2" t="s">
        <v>21</v>
      </c>
      <c r="D11" s="2" t="s">
        <v>72</v>
      </c>
      <c r="E11" s="2" t="s">
        <v>93</v>
      </c>
      <c r="F11" s="2" t="s">
        <v>53</v>
      </c>
      <c r="G11" s="2" t="s">
        <v>112</v>
      </c>
      <c r="H11" s="4" t="s">
        <v>113</v>
      </c>
      <c r="I11" s="4" t="s">
        <v>106</v>
      </c>
      <c r="J11" s="4" t="s">
        <v>107</v>
      </c>
      <c r="K11" s="2" t="s">
        <v>102</v>
      </c>
      <c r="L11" s="2" t="s">
        <v>44</v>
      </c>
      <c r="M11" s="4" t="s">
        <v>108</v>
      </c>
      <c r="N11" s="5" t="s">
        <v>32</v>
      </c>
      <c r="O11" s="4" t="s">
        <v>114</v>
      </c>
      <c r="P11" s="4" t="s">
        <v>110</v>
      </c>
      <c r="Q11" s="2" t="s">
        <v>60</v>
      </c>
      <c r="R11" s="2" t="s">
        <v>36</v>
      </c>
      <c r="S11" s="7">
        <v>1.7</v>
      </c>
    </row>
    <row r="12" spans="1:19" s="2" customFormat="1" x14ac:dyDescent="0.25">
      <c r="A12" s="2" t="s">
        <v>115</v>
      </c>
      <c r="B12" s="2" t="s">
        <v>103</v>
      </c>
      <c r="C12" s="2" t="s">
        <v>21</v>
      </c>
      <c r="D12" s="2" t="s">
        <v>72</v>
      </c>
      <c r="E12" s="2" t="s">
        <v>53</v>
      </c>
      <c r="F12" s="2" t="s">
        <v>53</v>
      </c>
      <c r="G12" s="2" t="s">
        <v>116</v>
      </c>
      <c r="H12" s="4" t="s">
        <v>117</v>
      </c>
      <c r="I12" s="4" t="s">
        <v>106</v>
      </c>
      <c r="J12" s="4" t="s">
        <v>56</v>
      </c>
      <c r="K12" s="2" t="s">
        <v>118</v>
      </c>
      <c r="L12" s="2" t="s">
        <v>30</v>
      </c>
      <c r="M12" s="4" t="s">
        <v>58</v>
      </c>
      <c r="N12" s="5" t="s">
        <v>32</v>
      </c>
      <c r="O12" s="4" t="s">
        <v>119</v>
      </c>
      <c r="P12" s="4" t="s">
        <v>110</v>
      </c>
      <c r="Q12" s="2" t="s">
        <v>60</v>
      </c>
      <c r="R12" s="2" t="s">
        <v>36</v>
      </c>
      <c r="S12" s="7">
        <v>0.6</v>
      </c>
    </row>
    <row r="13" spans="1:19" s="2" customFormat="1" x14ac:dyDescent="0.25">
      <c r="A13" s="2" t="s">
        <v>120</v>
      </c>
      <c r="B13" s="2" t="s">
        <v>121</v>
      </c>
      <c r="C13" s="2" t="s">
        <v>21</v>
      </c>
      <c r="D13" s="2" t="s">
        <v>122</v>
      </c>
      <c r="E13" s="2" t="s">
        <v>23</v>
      </c>
      <c r="F13" s="2" t="s">
        <v>94</v>
      </c>
      <c r="G13" s="2" t="s">
        <v>123</v>
      </c>
      <c r="H13" s="4" t="s">
        <v>124</v>
      </c>
      <c r="I13" s="4" t="s">
        <v>125</v>
      </c>
      <c r="J13" s="4" t="s">
        <v>126</v>
      </c>
      <c r="K13" s="2" t="s">
        <v>29</v>
      </c>
      <c r="L13" s="2" t="s">
        <v>30</v>
      </c>
      <c r="M13" s="4" t="s">
        <v>127</v>
      </c>
      <c r="N13" s="5" t="s">
        <v>32</v>
      </c>
      <c r="O13" s="4" t="s">
        <v>128</v>
      </c>
      <c r="P13" s="4" t="s">
        <v>129</v>
      </c>
      <c r="Q13" s="2" t="s">
        <v>60</v>
      </c>
      <c r="R13" s="2" t="s">
        <v>36</v>
      </c>
      <c r="S13" s="7">
        <v>0.9</v>
      </c>
    </row>
    <row r="14" spans="1:19" s="2" customFormat="1" x14ac:dyDescent="0.25">
      <c r="A14" s="2" t="s">
        <v>130</v>
      </c>
      <c r="B14" s="2" t="s">
        <v>131</v>
      </c>
      <c r="C14" s="2" t="s">
        <v>21</v>
      </c>
      <c r="D14" s="2" t="s">
        <v>122</v>
      </c>
      <c r="E14" s="2" t="s">
        <v>23</v>
      </c>
      <c r="F14" s="2" t="s">
        <v>94</v>
      </c>
      <c r="G14" s="2" t="s">
        <v>132</v>
      </c>
      <c r="H14" s="4" t="s">
        <v>133</v>
      </c>
      <c r="I14" s="4" t="s">
        <v>134</v>
      </c>
      <c r="J14" s="4" t="s">
        <v>135</v>
      </c>
      <c r="K14" s="2" t="s">
        <v>29</v>
      </c>
      <c r="L14" s="2" t="s">
        <v>30</v>
      </c>
      <c r="M14" s="4" t="s">
        <v>136</v>
      </c>
      <c r="N14" s="5" t="s">
        <v>32</v>
      </c>
      <c r="O14" s="4" t="s">
        <v>137</v>
      </c>
      <c r="P14" s="4" t="s">
        <v>138</v>
      </c>
      <c r="Q14" s="2" t="s">
        <v>60</v>
      </c>
      <c r="R14" s="2" t="s">
        <v>36</v>
      </c>
      <c r="S14" s="7">
        <v>0.7</v>
      </c>
    </row>
    <row r="15" spans="1:19" s="2" customFormat="1" x14ac:dyDescent="0.25">
      <c r="A15" s="2" t="s">
        <v>139</v>
      </c>
      <c r="B15" s="2" t="s">
        <v>140</v>
      </c>
      <c r="C15" s="2" t="s">
        <v>21</v>
      </c>
      <c r="D15" s="2" t="s">
        <v>122</v>
      </c>
      <c r="E15" s="2" t="s">
        <v>23</v>
      </c>
      <c r="F15" s="2" t="s">
        <v>94</v>
      </c>
      <c r="G15" s="2" t="s">
        <v>141</v>
      </c>
      <c r="H15" s="4" t="s">
        <v>142</v>
      </c>
      <c r="I15" s="4" t="s">
        <v>143</v>
      </c>
      <c r="J15" s="4" t="s">
        <v>144</v>
      </c>
      <c r="K15" s="2" t="s">
        <v>29</v>
      </c>
      <c r="L15" s="2" t="s">
        <v>30</v>
      </c>
      <c r="M15" s="4" t="s">
        <v>145</v>
      </c>
      <c r="N15" s="5" t="s">
        <v>32</v>
      </c>
      <c r="O15" s="4" t="s">
        <v>146</v>
      </c>
      <c r="P15" s="4" t="s">
        <v>147</v>
      </c>
      <c r="Q15" s="2" t="s">
        <v>60</v>
      </c>
      <c r="R15" s="2" t="s">
        <v>36</v>
      </c>
      <c r="S15" s="7">
        <v>0.8</v>
      </c>
    </row>
    <row r="16" spans="1:19" s="2" customFormat="1" x14ac:dyDescent="0.25">
      <c r="A16" s="2" t="s">
        <v>148</v>
      </c>
      <c r="B16" s="2" t="s">
        <v>140</v>
      </c>
      <c r="C16" s="2" t="s">
        <v>21</v>
      </c>
      <c r="D16" s="2" t="s">
        <v>122</v>
      </c>
      <c r="E16" s="2" t="s">
        <v>23</v>
      </c>
      <c r="F16" s="2" t="s">
        <v>94</v>
      </c>
      <c r="G16" s="2" t="s">
        <v>149</v>
      </c>
      <c r="H16" s="4" t="s">
        <v>150</v>
      </c>
      <c r="I16" s="4" t="s">
        <v>143</v>
      </c>
      <c r="J16" s="4" t="s">
        <v>144</v>
      </c>
      <c r="K16" s="2" t="s">
        <v>139</v>
      </c>
      <c r="L16" s="2" t="s">
        <v>30</v>
      </c>
      <c r="M16" s="4" t="s">
        <v>145</v>
      </c>
      <c r="N16" s="5" t="s">
        <v>32</v>
      </c>
      <c r="O16" s="4" t="s">
        <v>151</v>
      </c>
      <c r="P16" s="4" t="s">
        <v>147</v>
      </c>
      <c r="Q16" s="2" t="s">
        <v>60</v>
      </c>
      <c r="R16" s="2" t="s">
        <v>36</v>
      </c>
      <c r="S16" s="7">
        <v>1.1</v>
      </c>
    </row>
    <row r="17" spans="1:19" s="2" customFormat="1" x14ac:dyDescent="0.25">
      <c r="A17" s="2" t="s">
        <v>152</v>
      </c>
      <c r="B17" s="2" t="s">
        <v>140</v>
      </c>
      <c r="C17" s="2" t="s">
        <v>21</v>
      </c>
      <c r="D17" s="2" t="s">
        <v>122</v>
      </c>
      <c r="E17" s="2" t="s">
        <v>53</v>
      </c>
      <c r="F17" s="2" t="s">
        <v>94</v>
      </c>
      <c r="G17" s="2" t="s">
        <v>153</v>
      </c>
      <c r="H17" s="4" t="s">
        <v>154</v>
      </c>
      <c r="I17" s="4" t="s">
        <v>143</v>
      </c>
      <c r="J17" s="4" t="s">
        <v>56</v>
      </c>
      <c r="K17" s="2" t="s">
        <v>155</v>
      </c>
      <c r="L17" s="2" t="s">
        <v>30</v>
      </c>
      <c r="M17" s="4" t="s">
        <v>58</v>
      </c>
      <c r="N17" s="5" t="s">
        <v>32</v>
      </c>
      <c r="O17" s="4" t="s">
        <v>156</v>
      </c>
      <c r="P17" s="4" t="s">
        <v>147</v>
      </c>
      <c r="Q17" s="2" t="s">
        <v>60</v>
      </c>
      <c r="R17" s="2" t="s">
        <v>36</v>
      </c>
      <c r="S17" s="7">
        <v>0.35</v>
      </c>
    </row>
    <row r="18" spans="1:19" s="2" customFormat="1" x14ac:dyDescent="0.25">
      <c r="A18" s="2" t="s">
        <v>157</v>
      </c>
      <c r="B18" s="2" t="s">
        <v>158</v>
      </c>
      <c r="C18" s="2" t="s">
        <v>21</v>
      </c>
      <c r="D18" s="2" t="s">
        <v>122</v>
      </c>
      <c r="E18" s="2" t="s">
        <v>23</v>
      </c>
      <c r="F18" s="2" t="s">
        <v>159</v>
      </c>
      <c r="G18" s="2" t="s">
        <v>160</v>
      </c>
      <c r="H18" s="4" t="s">
        <v>161</v>
      </c>
      <c r="I18" s="4" t="s">
        <v>162</v>
      </c>
      <c r="J18" s="4" t="s">
        <v>163</v>
      </c>
      <c r="K18" s="2" t="s">
        <v>29</v>
      </c>
      <c r="L18" s="2" t="s">
        <v>30</v>
      </c>
      <c r="M18" s="4" t="s">
        <v>164</v>
      </c>
      <c r="N18" s="5" t="s">
        <v>32</v>
      </c>
      <c r="O18" s="4" t="s">
        <v>165</v>
      </c>
      <c r="P18" s="4" t="s">
        <v>166</v>
      </c>
      <c r="Q18" s="2" t="s">
        <v>60</v>
      </c>
      <c r="R18" s="2" t="s">
        <v>36</v>
      </c>
      <c r="S18" s="7">
        <v>1.2</v>
      </c>
    </row>
    <row r="19" spans="1:19" s="2" customFormat="1" x14ac:dyDescent="0.25">
      <c r="A19" s="2" t="s">
        <v>167</v>
      </c>
      <c r="B19" s="2" t="s">
        <v>158</v>
      </c>
      <c r="C19" s="2" t="s">
        <v>21</v>
      </c>
      <c r="D19" s="2" t="s">
        <v>122</v>
      </c>
      <c r="E19" s="2" t="s">
        <v>23</v>
      </c>
      <c r="F19" s="2" t="s">
        <v>159</v>
      </c>
      <c r="G19" s="2" t="s">
        <v>168</v>
      </c>
      <c r="H19" s="4" t="s">
        <v>169</v>
      </c>
      <c r="I19" s="4" t="s">
        <v>162</v>
      </c>
      <c r="J19" s="4" t="s">
        <v>163</v>
      </c>
      <c r="K19" s="2" t="s">
        <v>157</v>
      </c>
      <c r="L19" s="2" t="s">
        <v>30</v>
      </c>
      <c r="M19" s="4" t="s">
        <v>164</v>
      </c>
      <c r="N19" s="5" t="s">
        <v>32</v>
      </c>
      <c r="O19" s="4" t="s">
        <v>170</v>
      </c>
      <c r="P19" s="4" t="s">
        <v>166</v>
      </c>
      <c r="Q19" s="2" t="s">
        <v>60</v>
      </c>
      <c r="R19" s="2" t="s">
        <v>36</v>
      </c>
      <c r="S19" s="7">
        <v>1</v>
      </c>
    </row>
    <row r="20" spans="1:19" s="2" customFormat="1" x14ac:dyDescent="0.25">
      <c r="A20" s="2" t="s">
        <v>171</v>
      </c>
      <c r="B20" s="2" t="s">
        <v>158</v>
      </c>
      <c r="C20" s="2" t="s">
        <v>21</v>
      </c>
      <c r="D20" s="2" t="s">
        <v>122</v>
      </c>
      <c r="E20" s="2" t="s">
        <v>53</v>
      </c>
      <c r="F20" s="2" t="s">
        <v>159</v>
      </c>
      <c r="G20" s="2" t="s">
        <v>172</v>
      </c>
      <c r="H20" s="4" t="s">
        <v>173</v>
      </c>
      <c r="I20" s="4" t="s">
        <v>162</v>
      </c>
      <c r="J20" s="4" t="s">
        <v>56</v>
      </c>
      <c r="K20" s="2" t="s">
        <v>174</v>
      </c>
      <c r="L20" s="2" t="s">
        <v>30</v>
      </c>
      <c r="M20" s="4" t="s">
        <v>58</v>
      </c>
      <c r="N20" s="5" t="s">
        <v>32</v>
      </c>
      <c r="O20" s="4" t="s">
        <v>175</v>
      </c>
      <c r="P20" s="4" t="s">
        <v>166</v>
      </c>
      <c r="Q20" s="2" t="s">
        <v>60</v>
      </c>
      <c r="R20" s="2" t="s">
        <v>36</v>
      </c>
      <c r="S20" s="7">
        <v>0.3</v>
      </c>
    </row>
    <row r="21" spans="1:19" s="2" customFormat="1" x14ac:dyDescent="0.25">
      <c r="A21" s="2" t="s">
        <v>176</v>
      </c>
      <c r="B21" s="2" t="s">
        <v>177</v>
      </c>
      <c r="C21" s="2" t="s">
        <v>21</v>
      </c>
      <c r="D21" s="2" t="s">
        <v>122</v>
      </c>
      <c r="E21" s="2" t="s">
        <v>39</v>
      </c>
      <c r="F21" s="2" t="s">
        <v>94</v>
      </c>
      <c r="G21" s="2" t="s">
        <v>178</v>
      </c>
      <c r="H21" s="4" t="s">
        <v>179</v>
      </c>
      <c r="I21" s="4" t="s">
        <v>180</v>
      </c>
      <c r="J21" s="4" t="s">
        <v>181</v>
      </c>
      <c r="K21" s="2" t="s">
        <v>29</v>
      </c>
      <c r="L21" s="2" t="s">
        <v>30</v>
      </c>
      <c r="M21" s="4" t="s">
        <v>182</v>
      </c>
      <c r="N21" s="5" t="s">
        <v>32</v>
      </c>
      <c r="O21" s="4" t="s">
        <v>183</v>
      </c>
      <c r="P21" s="4" t="s">
        <v>184</v>
      </c>
      <c r="Q21" s="2" t="s">
        <v>60</v>
      </c>
      <c r="R21" s="2" t="s">
        <v>36</v>
      </c>
      <c r="S21" s="7">
        <v>0.6</v>
      </c>
    </row>
    <row r="22" spans="1:19" s="2" customFormat="1" x14ac:dyDescent="0.25">
      <c r="A22" s="2" t="s">
        <v>185</v>
      </c>
      <c r="B22" s="2" t="s">
        <v>186</v>
      </c>
      <c r="C22" s="2" t="s">
        <v>21</v>
      </c>
      <c r="D22" s="2" t="s">
        <v>122</v>
      </c>
      <c r="E22" s="2" t="s">
        <v>39</v>
      </c>
      <c r="F22" s="2" t="s">
        <v>187</v>
      </c>
      <c r="G22" s="2" t="s">
        <v>188</v>
      </c>
      <c r="H22" s="4" t="s">
        <v>189</v>
      </c>
      <c r="I22" s="4" t="s">
        <v>190</v>
      </c>
      <c r="J22" s="4" t="s">
        <v>191</v>
      </c>
      <c r="K22" s="2" t="s">
        <v>29</v>
      </c>
      <c r="L22" s="2" t="s">
        <v>30</v>
      </c>
      <c r="M22" s="4" t="s">
        <v>192</v>
      </c>
      <c r="N22" s="5" t="s">
        <v>32</v>
      </c>
      <c r="O22" s="4" t="s">
        <v>193</v>
      </c>
      <c r="P22" s="4" t="s">
        <v>194</v>
      </c>
      <c r="Q22" s="2" t="s">
        <v>60</v>
      </c>
      <c r="R22" s="2" t="s">
        <v>36</v>
      </c>
      <c r="S22" s="7">
        <v>1.4</v>
      </c>
    </row>
    <row r="23" spans="1:19" s="2" customFormat="1" x14ac:dyDescent="0.25">
      <c r="A23" s="2" t="s">
        <v>195</v>
      </c>
      <c r="B23" s="2" t="s">
        <v>186</v>
      </c>
      <c r="C23" s="2" t="s">
        <v>21</v>
      </c>
      <c r="D23" s="2" t="s">
        <v>122</v>
      </c>
      <c r="E23" s="2" t="s">
        <v>39</v>
      </c>
      <c r="F23" s="2" t="s">
        <v>187</v>
      </c>
      <c r="G23" s="2" t="s">
        <v>196</v>
      </c>
      <c r="H23" s="4" t="s">
        <v>197</v>
      </c>
      <c r="I23" s="4" t="s">
        <v>190</v>
      </c>
      <c r="J23" s="4" t="s">
        <v>191</v>
      </c>
      <c r="K23" s="2" t="s">
        <v>185</v>
      </c>
      <c r="L23" s="2" t="s">
        <v>30</v>
      </c>
      <c r="M23" s="4" t="s">
        <v>192</v>
      </c>
      <c r="N23" s="5" t="s">
        <v>32</v>
      </c>
      <c r="O23" s="4" t="s">
        <v>198</v>
      </c>
      <c r="P23" s="4" t="s">
        <v>194</v>
      </c>
      <c r="Q23" s="2" t="s">
        <v>60</v>
      </c>
      <c r="R23" s="2" t="s">
        <v>36</v>
      </c>
      <c r="S23" s="7">
        <v>1.3</v>
      </c>
    </row>
    <row r="24" spans="1:19" s="2" customFormat="1" x14ac:dyDescent="0.25">
      <c r="A24" s="2" t="s">
        <v>199</v>
      </c>
      <c r="B24" s="2" t="s">
        <v>186</v>
      </c>
      <c r="C24" s="2" t="s">
        <v>21</v>
      </c>
      <c r="D24" s="2" t="s">
        <v>122</v>
      </c>
      <c r="E24" s="2" t="s">
        <v>53</v>
      </c>
      <c r="F24" s="2" t="s">
        <v>187</v>
      </c>
      <c r="G24" s="2" t="s">
        <v>200</v>
      </c>
      <c r="H24" s="4" t="s">
        <v>201</v>
      </c>
      <c r="I24" s="4" t="s">
        <v>190</v>
      </c>
      <c r="J24" s="4" t="s">
        <v>56</v>
      </c>
      <c r="K24" s="2" t="s">
        <v>202</v>
      </c>
      <c r="L24" s="2" t="s">
        <v>30</v>
      </c>
      <c r="M24" s="4" t="s">
        <v>58</v>
      </c>
      <c r="N24" s="5" t="s">
        <v>32</v>
      </c>
      <c r="O24" s="4" t="s">
        <v>203</v>
      </c>
      <c r="P24" s="4" t="s">
        <v>194</v>
      </c>
      <c r="Q24" s="2" t="s">
        <v>60</v>
      </c>
      <c r="R24" s="2" t="s">
        <v>36</v>
      </c>
      <c r="S24" s="7">
        <v>0.3</v>
      </c>
    </row>
    <row r="25" spans="1:19" s="2" customFormat="1" x14ac:dyDescent="0.25">
      <c r="A25" s="2" t="s">
        <v>204</v>
      </c>
      <c r="B25" s="2" t="s">
        <v>205</v>
      </c>
      <c r="C25" s="2" t="s">
        <v>21</v>
      </c>
      <c r="D25" s="2" t="s">
        <v>122</v>
      </c>
      <c r="E25" s="2" t="s">
        <v>93</v>
      </c>
      <c r="F25" s="2" t="s">
        <v>83</v>
      </c>
      <c r="G25" s="2" t="s">
        <v>206</v>
      </c>
      <c r="H25" s="4" t="s">
        <v>207</v>
      </c>
      <c r="I25" s="4" t="s">
        <v>208</v>
      </c>
      <c r="J25" s="4" t="s">
        <v>209</v>
      </c>
      <c r="K25" s="2" t="s">
        <v>29</v>
      </c>
      <c r="L25" s="2" t="s">
        <v>30</v>
      </c>
      <c r="M25" s="4" t="s">
        <v>210</v>
      </c>
      <c r="N25" s="5" t="s">
        <v>32</v>
      </c>
      <c r="O25" s="4" t="s">
        <v>211</v>
      </c>
      <c r="P25" s="4" t="s">
        <v>212</v>
      </c>
      <c r="Q25" s="2" t="s">
        <v>60</v>
      </c>
      <c r="R25" s="2" t="s">
        <v>36</v>
      </c>
      <c r="S25" s="7">
        <v>1.6</v>
      </c>
    </row>
    <row r="26" spans="1:19" s="2" customFormat="1" x14ac:dyDescent="0.25">
      <c r="A26" s="2" t="s">
        <v>213</v>
      </c>
      <c r="B26" s="2" t="s">
        <v>214</v>
      </c>
      <c r="C26" s="2" t="s">
        <v>21</v>
      </c>
      <c r="D26" s="2" t="s">
        <v>122</v>
      </c>
      <c r="E26" s="2" t="s">
        <v>93</v>
      </c>
      <c r="F26" s="2" t="s">
        <v>94</v>
      </c>
      <c r="G26" s="2" t="s">
        <v>215</v>
      </c>
      <c r="H26" s="4" t="s">
        <v>216</v>
      </c>
      <c r="I26" s="4" t="s">
        <v>217</v>
      </c>
      <c r="J26" s="4" t="s">
        <v>218</v>
      </c>
      <c r="K26" s="2" t="s">
        <v>29</v>
      </c>
      <c r="L26" s="2" t="s">
        <v>30</v>
      </c>
      <c r="M26" s="4" t="s">
        <v>219</v>
      </c>
      <c r="N26" s="5" t="s">
        <v>32</v>
      </c>
      <c r="O26" s="4" t="s">
        <v>220</v>
      </c>
      <c r="P26" s="4" t="s">
        <v>221</v>
      </c>
      <c r="Q26" s="2" t="s">
        <v>60</v>
      </c>
      <c r="R26" s="2" t="s">
        <v>36</v>
      </c>
      <c r="S26" s="7">
        <v>0.7</v>
      </c>
    </row>
    <row r="27" spans="1:19" s="2" customFormat="1" x14ac:dyDescent="0.25">
      <c r="A27" s="2" t="s">
        <v>222</v>
      </c>
      <c r="B27" s="2" t="s">
        <v>223</v>
      </c>
      <c r="C27" s="2" t="s">
        <v>21</v>
      </c>
      <c r="D27" s="2" t="s">
        <v>122</v>
      </c>
      <c r="E27" s="2" t="s">
        <v>224</v>
      </c>
      <c r="F27" s="2" t="s">
        <v>94</v>
      </c>
      <c r="G27" s="2" t="s">
        <v>225</v>
      </c>
      <c r="H27" s="4" t="s">
        <v>226</v>
      </c>
      <c r="I27" s="4" t="s">
        <v>227</v>
      </c>
      <c r="J27" s="4" t="s">
        <v>228</v>
      </c>
      <c r="K27" s="2" t="s">
        <v>29</v>
      </c>
      <c r="L27" s="2" t="s">
        <v>30</v>
      </c>
      <c r="M27" s="4" t="s">
        <v>229</v>
      </c>
      <c r="N27" s="5" t="s">
        <v>32</v>
      </c>
      <c r="O27" s="4" t="s">
        <v>230</v>
      </c>
      <c r="P27" s="4" t="s">
        <v>231</v>
      </c>
      <c r="Q27" s="2" t="s">
        <v>60</v>
      </c>
      <c r="R27" s="2" t="s">
        <v>36</v>
      </c>
      <c r="S27" s="7">
        <v>1</v>
      </c>
    </row>
    <row r="28" spans="1:19" s="2" customFormat="1" x14ac:dyDescent="0.25">
      <c r="A28" s="2" t="s">
        <v>232</v>
      </c>
      <c r="B28" s="2" t="s">
        <v>223</v>
      </c>
      <c r="C28" s="2" t="s">
        <v>21</v>
      </c>
      <c r="D28" s="2" t="s">
        <v>122</v>
      </c>
      <c r="E28" s="2" t="s">
        <v>224</v>
      </c>
      <c r="F28" s="2" t="s">
        <v>94</v>
      </c>
      <c r="G28" s="2" t="s">
        <v>233</v>
      </c>
      <c r="H28" s="4" t="s">
        <v>234</v>
      </c>
      <c r="I28" s="4" t="s">
        <v>227</v>
      </c>
      <c r="J28" s="4" t="s">
        <v>228</v>
      </c>
      <c r="K28" s="2" t="s">
        <v>222</v>
      </c>
      <c r="L28" s="2" t="s">
        <v>30</v>
      </c>
      <c r="M28" s="4" t="s">
        <v>229</v>
      </c>
      <c r="N28" s="5" t="s">
        <v>32</v>
      </c>
      <c r="O28" s="4" t="s">
        <v>235</v>
      </c>
      <c r="P28" s="4" t="s">
        <v>231</v>
      </c>
      <c r="Q28" s="2" t="s">
        <v>60</v>
      </c>
      <c r="R28" s="2" t="s">
        <v>36</v>
      </c>
      <c r="S28" s="7">
        <v>1.2</v>
      </c>
    </row>
    <row r="29" spans="1:19" s="2" customFormat="1" x14ac:dyDescent="0.25">
      <c r="A29" s="2" t="s">
        <v>236</v>
      </c>
      <c r="B29" s="2" t="s">
        <v>223</v>
      </c>
      <c r="C29" s="2" t="s">
        <v>21</v>
      </c>
      <c r="D29" s="2" t="s">
        <v>122</v>
      </c>
      <c r="E29" s="2" t="s">
        <v>53</v>
      </c>
      <c r="F29" s="2" t="s">
        <v>94</v>
      </c>
      <c r="G29" s="2" t="s">
        <v>237</v>
      </c>
      <c r="H29" s="4" t="s">
        <v>238</v>
      </c>
      <c r="I29" s="4" t="s">
        <v>227</v>
      </c>
      <c r="J29" s="4" t="s">
        <v>56</v>
      </c>
      <c r="K29" s="2" t="s">
        <v>239</v>
      </c>
      <c r="L29" s="2" t="s">
        <v>30</v>
      </c>
      <c r="M29" s="4" t="s">
        <v>58</v>
      </c>
      <c r="N29" s="5" t="s">
        <v>32</v>
      </c>
      <c r="O29" s="4" t="s">
        <v>240</v>
      </c>
      <c r="P29" s="4" t="s">
        <v>231</v>
      </c>
      <c r="Q29" s="2" t="s">
        <v>60</v>
      </c>
      <c r="R29" s="2" t="s">
        <v>36</v>
      </c>
      <c r="S29" s="7">
        <v>0.3</v>
      </c>
    </row>
    <row r="30" spans="1:19" s="2" customFormat="1" x14ac:dyDescent="0.25">
      <c r="A30" s="2" t="s">
        <v>241</v>
      </c>
      <c r="B30" s="2" t="s">
        <v>242</v>
      </c>
      <c r="C30" s="2" t="s">
        <v>21</v>
      </c>
      <c r="D30" s="2" t="s">
        <v>122</v>
      </c>
      <c r="E30" s="2" t="s">
        <v>39</v>
      </c>
      <c r="F30" s="2" t="s">
        <v>94</v>
      </c>
      <c r="G30" s="2" t="s">
        <v>243</v>
      </c>
      <c r="H30" s="4" t="s">
        <v>244</v>
      </c>
      <c r="I30" s="4" t="s">
        <v>245</v>
      </c>
      <c r="J30" s="4" t="s">
        <v>246</v>
      </c>
      <c r="K30" s="2" t="s">
        <v>29</v>
      </c>
      <c r="L30" s="2" t="s">
        <v>30</v>
      </c>
      <c r="M30" s="4" t="s">
        <v>247</v>
      </c>
      <c r="N30" s="5" t="s">
        <v>32</v>
      </c>
      <c r="O30" s="4" t="s">
        <v>248</v>
      </c>
      <c r="P30" s="4" t="s">
        <v>249</v>
      </c>
      <c r="Q30" s="2" t="s">
        <v>60</v>
      </c>
      <c r="R30" s="2" t="s">
        <v>36</v>
      </c>
      <c r="S30" s="7">
        <v>0.9</v>
      </c>
    </row>
    <row r="31" spans="1:19" s="2" customFormat="1" x14ac:dyDescent="0.25">
      <c r="A31" s="2" t="s">
        <v>250</v>
      </c>
      <c r="B31" s="2" t="s">
        <v>242</v>
      </c>
      <c r="C31" s="2" t="s">
        <v>21</v>
      </c>
      <c r="D31" s="2" t="s">
        <v>122</v>
      </c>
      <c r="E31" s="2" t="s">
        <v>39</v>
      </c>
      <c r="F31" s="2" t="s">
        <v>94</v>
      </c>
      <c r="G31" s="2" t="s">
        <v>251</v>
      </c>
      <c r="H31" s="4" t="s">
        <v>252</v>
      </c>
      <c r="I31" s="4" t="s">
        <v>245</v>
      </c>
      <c r="J31" s="4" t="s">
        <v>246</v>
      </c>
      <c r="K31" s="2" t="s">
        <v>241</v>
      </c>
      <c r="L31" s="2" t="s">
        <v>30</v>
      </c>
      <c r="M31" s="4" t="s">
        <v>247</v>
      </c>
      <c r="N31" s="5" t="s">
        <v>32</v>
      </c>
      <c r="O31" s="4" t="s">
        <v>253</v>
      </c>
      <c r="P31" s="4" t="s">
        <v>249</v>
      </c>
      <c r="Q31" s="2" t="s">
        <v>60</v>
      </c>
      <c r="R31" s="2" t="s">
        <v>36</v>
      </c>
      <c r="S31" s="7">
        <v>1</v>
      </c>
    </row>
    <row r="32" spans="1:19" s="2" customFormat="1" x14ac:dyDescent="0.25">
      <c r="A32" s="2" t="s">
        <v>254</v>
      </c>
      <c r="B32" s="2" t="s">
        <v>242</v>
      </c>
      <c r="C32" s="2" t="s">
        <v>21</v>
      </c>
      <c r="D32" s="2" t="s">
        <v>122</v>
      </c>
      <c r="E32" s="2" t="s">
        <v>53</v>
      </c>
      <c r="F32" s="2" t="s">
        <v>94</v>
      </c>
      <c r="G32" s="2" t="s">
        <v>255</v>
      </c>
      <c r="H32" s="4" t="s">
        <v>256</v>
      </c>
      <c r="I32" s="4" t="s">
        <v>245</v>
      </c>
      <c r="J32" s="4" t="s">
        <v>56</v>
      </c>
      <c r="K32" s="2" t="s">
        <v>257</v>
      </c>
      <c r="L32" s="2" t="s">
        <v>30</v>
      </c>
      <c r="M32" s="4" t="s">
        <v>58</v>
      </c>
      <c r="N32" s="5" t="s">
        <v>32</v>
      </c>
      <c r="O32" s="4" t="s">
        <v>258</v>
      </c>
      <c r="P32" s="4" t="s">
        <v>249</v>
      </c>
      <c r="Q32" s="2" t="s">
        <v>60</v>
      </c>
      <c r="R32" s="2" t="s">
        <v>36</v>
      </c>
      <c r="S32" s="7">
        <v>0.3</v>
      </c>
    </row>
    <row r="33" spans="1:19" s="2" customFormat="1" x14ac:dyDescent="0.25">
      <c r="A33" s="2" t="s">
        <v>259</v>
      </c>
      <c r="B33" s="2" t="s">
        <v>260</v>
      </c>
      <c r="C33" s="2" t="s">
        <v>21</v>
      </c>
      <c r="D33" s="2" t="s">
        <v>122</v>
      </c>
      <c r="E33" s="2" t="s">
        <v>224</v>
      </c>
      <c r="F33" s="2" t="s">
        <v>83</v>
      </c>
      <c r="G33" s="2" t="s">
        <v>261</v>
      </c>
      <c r="H33" s="4" t="s">
        <v>262</v>
      </c>
      <c r="I33" s="4" t="s">
        <v>263</v>
      </c>
      <c r="J33" s="4" t="s">
        <v>264</v>
      </c>
      <c r="K33" s="2" t="s">
        <v>29</v>
      </c>
      <c r="L33" s="2" t="s">
        <v>30</v>
      </c>
      <c r="M33" s="4" t="s">
        <v>265</v>
      </c>
      <c r="N33" s="5" t="s">
        <v>32</v>
      </c>
      <c r="O33" s="4" t="s">
        <v>266</v>
      </c>
      <c r="P33" s="4" t="s">
        <v>267</v>
      </c>
      <c r="Q33" s="2" t="s">
        <v>60</v>
      </c>
      <c r="R33" s="2" t="s">
        <v>36</v>
      </c>
      <c r="S33" s="7">
        <v>0.9</v>
      </c>
    </row>
    <row r="34" spans="1:19" s="2" customFormat="1" x14ac:dyDescent="0.25">
      <c r="A34" s="2" t="s">
        <v>268</v>
      </c>
      <c r="B34" s="2" t="s">
        <v>269</v>
      </c>
      <c r="C34" s="2" t="s">
        <v>270</v>
      </c>
      <c r="D34" s="2" t="s">
        <v>72</v>
      </c>
      <c r="E34" s="2" t="s">
        <v>39</v>
      </c>
      <c r="F34" s="2" t="s">
        <v>94</v>
      </c>
      <c r="G34" s="2" t="s">
        <v>271</v>
      </c>
      <c r="H34" s="4" t="s">
        <v>272</v>
      </c>
      <c r="I34" s="4" t="s">
        <v>273</v>
      </c>
      <c r="J34" s="4" t="s">
        <v>274</v>
      </c>
      <c r="K34" s="2" t="s">
        <v>29</v>
      </c>
      <c r="L34" s="2" t="s">
        <v>44</v>
      </c>
      <c r="M34" s="4" t="s">
        <v>275</v>
      </c>
      <c r="N34" s="5" t="s">
        <v>32</v>
      </c>
      <c r="O34" s="4" t="s">
        <v>276</v>
      </c>
      <c r="P34" s="4" t="s">
        <v>277</v>
      </c>
      <c r="Q34" s="8" t="s">
        <v>278</v>
      </c>
      <c r="R34" s="2" t="s">
        <v>36</v>
      </c>
      <c r="S34" s="7">
        <v>1.8</v>
      </c>
    </row>
    <row r="35" spans="1:19" s="2" customFormat="1" x14ac:dyDescent="0.25">
      <c r="A35" s="2" t="s">
        <v>279</v>
      </c>
      <c r="B35" s="2" t="s">
        <v>280</v>
      </c>
      <c r="C35" s="2" t="s">
        <v>270</v>
      </c>
      <c r="D35" s="2" t="s">
        <v>72</v>
      </c>
      <c r="E35" s="2" t="s">
        <v>93</v>
      </c>
      <c r="F35" s="2" t="s">
        <v>159</v>
      </c>
      <c r="G35" s="2" t="s">
        <v>281</v>
      </c>
      <c r="H35" s="4" t="s">
        <v>282</v>
      </c>
      <c r="I35" s="4" t="s">
        <v>283</v>
      </c>
      <c r="J35" s="4" t="s">
        <v>284</v>
      </c>
      <c r="K35" s="2" t="s">
        <v>29</v>
      </c>
      <c r="L35" s="2" t="s">
        <v>285</v>
      </c>
      <c r="M35" s="4" t="s">
        <v>286</v>
      </c>
      <c r="N35" s="5" t="s">
        <v>32</v>
      </c>
      <c r="O35" s="4" t="s">
        <v>287</v>
      </c>
      <c r="P35" s="4" t="s">
        <v>288</v>
      </c>
      <c r="Q35" s="6" t="s">
        <v>35</v>
      </c>
      <c r="R35" s="2" t="s">
        <v>36</v>
      </c>
      <c r="S35" s="7">
        <v>3.2</v>
      </c>
    </row>
    <row r="36" spans="1:19" s="2" customFormat="1" x14ac:dyDescent="0.25">
      <c r="A36" s="2" t="s">
        <v>289</v>
      </c>
      <c r="B36" s="2" t="s">
        <v>280</v>
      </c>
      <c r="C36" s="2" t="s">
        <v>270</v>
      </c>
      <c r="D36" s="2" t="s">
        <v>72</v>
      </c>
      <c r="E36" s="2" t="s">
        <v>93</v>
      </c>
      <c r="F36" s="2" t="s">
        <v>159</v>
      </c>
      <c r="G36" s="2" t="s">
        <v>290</v>
      </c>
      <c r="H36" s="4" t="s">
        <v>291</v>
      </c>
      <c r="I36" s="4" t="s">
        <v>283</v>
      </c>
      <c r="J36" s="4" t="s">
        <v>284</v>
      </c>
      <c r="K36" s="2" t="s">
        <v>279</v>
      </c>
      <c r="L36" s="2" t="s">
        <v>285</v>
      </c>
      <c r="M36" s="4" t="s">
        <v>286</v>
      </c>
      <c r="N36" s="5" t="s">
        <v>32</v>
      </c>
      <c r="O36" s="4" t="s">
        <v>292</v>
      </c>
      <c r="P36" s="4" t="s">
        <v>288</v>
      </c>
      <c r="Q36" s="6" t="s">
        <v>35</v>
      </c>
      <c r="R36" s="2" t="s">
        <v>36</v>
      </c>
      <c r="S36" s="7">
        <v>1.4</v>
      </c>
    </row>
    <row r="37" spans="1:19" s="2" customFormat="1" x14ac:dyDescent="0.25">
      <c r="A37" s="2" t="s">
        <v>293</v>
      </c>
      <c r="B37" s="2" t="s">
        <v>280</v>
      </c>
      <c r="C37" s="2" t="s">
        <v>270</v>
      </c>
      <c r="D37" s="2" t="s">
        <v>72</v>
      </c>
      <c r="E37" s="2" t="s">
        <v>53</v>
      </c>
      <c r="F37" s="2" t="s">
        <v>159</v>
      </c>
      <c r="G37" s="2" t="s">
        <v>294</v>
      </c>
      <c r="H37" s="4" t="s">
        <v>295</v>
      </c>
      <c r="I37" s="4" t="s">
        <v>283</v>
      </c>
      <c r="J37" s="4" t="s">
        <v>56</v>
      </c>
      <c r="K37" s="2" t="s">
        <v>296</v>
      </c>
      <c r="L37" s="2" t="s">
        <v>30</v>
      </c>
      <c r="M37" s="4" t="s">
        <v>58</v>
      </c>
      <c r="N37" s="5" t="s">
        <v>32</v>
      </c>
      <c r="O37" s="4" t="s">
        <v>297</v>
      </c>
      <c r="P37" s="4" t="s">
        <v>288</v>
      </c>
      <c r="Q37" s="2" t="s">
        <v>60</v>
      </c>
      <c r="R37" s="2" t="s">
        <v>36</v>
      </c>
      <c r="S37" s="7">
        <v>0.4</v>
      </c>
    </row>
    <row r="38" spans="1:19" s="2" customFormat="1" x14ac:dyDescent="0.25">
      <c r="A38" s="2" t="s">
        <v>298</v>
      </c>
      <c r="B38" s="2" t="s">
        <v>299</v>
      </c>
      <c r="C38" s="2" t="s">
        <v>270</v>
      </c>
      <c r="D38" s="2" t="s">
        <v>72</v>
      </c>
      <c r="E38" s="2" t="s">
        <v>93</v>
      </c>
      <c r="F38" s="2" t="s">
        <v>73</v>
      </c>
      <c r="G38" s="2" t="s">
        <v>300</v>
      </c>
      <c r="H38" s="4" t="s">
        <v>301</v>
      </c>
      <c r="I38" s="4" t="s">
        <v>302</v>
      </c>
      <c r="J38" s="4" t="s">
        <v>303</v>
      </c>
      <c r="K38" s="2" t="s">
        <v>29</v>
      </c>
      <c r="L38" s="2" t="s">
        <v>285</v>
      </c>
      <c r="M38" s="4" t="s">
        <v>304</v>
      </c>
      <c r="N38" s="5" t="s">
        <v>32</v>
      </c>
      <c r="O38" s="4" t="s">
        <v>305</v>
      </c>
      <c r="P38" s="4" t="s">
        <v>306</v>
      </c>
      <c r="Q38" s="8" t="s">
        <v>278</v>
      </c>
      <c r="R38" s="2" t="s">
        <v>36</v>
      </c>
      <c r="S38" s="7">
        <v>1.5</v>
      </c>
    </row>
    <row r="39" spans="1:19" s="2" customFormat="1" x14ac:dyDescent="0.25">
      <c r="A39" s="2" t="s">
        <v>307</v>
      </c>
      <c r="B39" s="2" t="s">
        <v>299</v>
      </c>
      <c r="C39" s="2" t="s">
        <v>270</v>
      </c>
      <c r="D39" s="2" t="s">
        <v>72</v>
      </c>
      <c r="E39" s="2" t="s">
        <v>93</v>
      </c>
      <c r="F39" s="2" t="s">
        <v>73</v>
      </c>
      <c r="G39" s="2" t="s">
        <v>308</v>
      </c>
      <c r="H39" s="4" t="s">
        <v>309</v>
      </c>
      <c r="I39" s="4" t="s">
        <v>302</v>
      </c>
      <c r="J39" s="4" t="s">
        <v>303</v>
      </c>
      <c r="K39" s="2" t="s">
        <v>298</v>
      </c>
      <c r="L39" s="2" t="s">
        <v>285</v>
      </c>
      <c r="M39" s="4" t="s">
        <v>304</v>
      </c>
      <c r="N39" s="5" t="s">
        <v>32</v>
      </c>
      <c r="O39" s="4" t="s">
        <v>310</v>
      </c>
      <c r="P39" s="4" t="s">
        <v>306</v>
      </c>
      <c r="Q39" s="8" t="s">
        <v>278</v>
      </c>
      <c r="R39" s="2" t="s">
        <v>36</v>
      </c>
      <c r="S39" s="7">
        <v>1.3</v>
      </c>
    </row>
    <row r="40" spans="1:19" s="2" customFormat="1" x14ac:dyDescent="0.25">
      <c r="A40" s="2" t="s">
        <v>311</v>
      </c>
      <c r="B40" s="2" t="s">
        <v>299</v>
      </c>
      <c r="C40" s="2" t="s">
        <v>270</v>
      </c>
      <c r="D40" s="2" t="s">
        <v>72</v>
      </c>
      <c r="E40" s="2" t="s">
        <v>53</v>
      </c>
      <c r="F40" s="2" t="s">
        <v>73</v>
      </c>
      <c r="G40" s="2" t="s">
        <v>312</v>
      </c>
      <c r="H40" s="4" t="s">
        <v>313</v>
      </c>
      <c r="I40" s="4" t="s">
        <v>302</v>
      </c>
      <c r="J40" s="4" t="s">
        <v>56</v>
      </c>
      <c r="K40" s="2" t="s">
        <v>314</v>
      </c>
      <c r="L40" s="2" t="s">
        <v>30</v>
      </c>
      <c r="M40" s="4" t="s">
        <v>58</v>
      </c>
      <c r="N40" s="5" t="s">
        <v>32</v>
      </c>
      <c r="O40" s="4" t="s">
        <v>315</v>
      </c>
      <c r="P40" s="4" t="s">
        <v>306</v>
      </c>
      <c r="Q40" s="2" t="s">
        <v>60</v>
      </c>
      <c r="R40" s="2" t="s">
        <v>36</v>
      </c>
      <c r="S40" s="7">
        <v>0.35</v>
      </c>
    </row>
    <row r="41" spans="1:19" s="2" customFormat="1" x14ac:dyDescent="0.25">
      <c r="A41" s="2" t="s">
        <v>316</v>
      </c>
      <c r="B41" s="2" t="s">
        <v>317</v>
      </c>
      <c r="C41" s="2" t="s">
        <v>270</v>
      </c>
      <c r="D41" s="2" t="s">
        <v>72</v>
      </c>
      <c r="E41" s="2" t="s">
        <v>318</v>
      </c>
      <c r="F41" s="2" t="s">
        <v>24</v>
      </c>
      <c r="G41" s="2" t="s">
        <v>319</v>
      </c>
      <c r="H41" s="4" t="s">
        <v>320</v>
      </c>
      <c r="I41" s="4" t="s">
        <v>321</v>
      </c>
      <c r="J41" s="4" t="s">
        <v>322</v>
      </c>
      <c r="K41" s="2" t="s">
        <v>29</v>
      </c>
      <c r="L41" s="2" t="s">
        <v>44</v>
      </c>
      <c r="M41" s="4" t="s">
        <v>323</v>
      </c>
      <c r="N41" s="5" t="s">
        <v>32</v>
      </c>
      <c r="O41" s="4" t="s">
        <v>324</v>
      </c>
      <c r="P41" s="4" t="s">
        <v>325</v>
      </c>
      <c r="Q41" s="6" t="s">
        <v>35</v>
      </c>
      <c r="R41" s="2" t="s">
        <v>36</v>
      </c>
      <c r="S41" s="7">
        <v>2.1</v>
      </c>
    </row>
    <row r="42" spans="1:19" s="2" customFormat="1" x14ac:dyDescent="0.25">
      <c r="A42" s="2" t="s">
        <v>326</v>
      </c>
      <c r="B42" s="2" t="s">
        <v>317</v>
      </c>
      <c r="C42" s="2" t="s">
        <v>270</v>
      </c>
      <c r="D42" s="2" t="s">
        <v>72</v>
      </c>
      <c r="E42" s="2" t="s">
        <v>318</v>
      </c>
      <c r="F42" s="2" t="s">
        <v>24</v>
      </c>
      <c r="G42" s="2" t="s">
        <v>327</v>
      </c>
      <c r="H42" s="4" t="s">
        <v>328</v>
      </c>
      <c r="I42" s="4" t="s">
        <v>321</v>
      </c>
      <c r="J42" s="4" t="s">
        <v>322</v>
      </c>
      <c r="K42" s="2" t="s">
        <v>316</v>
      </c>
      <c r="L42" s="2" t="s">
        <v>44</v>
      </c>
      <c r="M42" s="4" t="s">
        <v>323</v>
      </c>
      <c r="N42" s="5" t="s">
        <v>32</v>
      </c>
      <c r="O42" s="4" t="s">
        <v>329</v>
      </c>
      <c r="P42" s="4" t="s">
        <v>325</v>
      </c>
      <c r="Q42" s="6" t="s">
        <v>35</v>
      </c>
      <c r="R42" s="2" t="s">
        <v>36</v>
      </c>
      <c r="S42" s="7">
        <v>1.6</v>
      </c>
    </row>
    <row r="43" spans="1:19" s="2" customFormat="1" x14ac:dyDescent="0.25">
      <c r="A43" s="2" t="s">
        <v>330</v>
      </c>
      <c r="B43" s="2" t="s">
        <v>317</v>
      </c>
      <c r="C43" s="2" t="s">
        <v>270</v>
      </c>
      <c r="D43" s="2" t="s">
        <v>72</v>
      </c>
      <c r="E43" s="2" t="s">
        <v>53</v>
      </c>
      <c r="F43" s="2" t="s">
        <v>24</v>
      </c>
      <c r="G43" s="2" t="s">
        <v>331</v>
      </c>
      <c r="H43" s="4" t="s">
        <v>332</v>
      </c>
      <c r="I43" s="4" t="s">
        <v>321</v>
      </c>
      <c r="J43" s="4" t="s">
        <v>56</v>
      </c>
      <c r="K43" s="2" t="s">
        <v>333</v>
      </c>
      <c r="L43" s="2" t="s">
        <v>30</v>
      </c>
      <c r="M43" s="4" t="s">
        <v>58</v>
      </c>
      <c r="N43" s="5" t="s">
        <v>32</v>
      </c>
      <c r="O43" s="4" t="s">
        <v>334</v>
      </c>
      <c r="P43" s="4" t="s">
        <v>325</v>
      </c>
      <c r="Q43" s="2" t="s">
        <v>60</v>
      </c>
      <c r="R43" s="2" t="s">
        <v>36</v>
      </c>
      <c r="S43" s="7">
        <v>0.35</v>
      </c>
    </row>
    <row r="44" spans="1:19" s="2" customFormat="1" x14ac:dyDescent="0.25">
      <c r="A44" s="2" t="s">
        <v>335</v>
      </c>
      <c r="B44" s="2" t="s">
        <v>336</v>
      </c>
      <c r="C44" s="2" t="s">
        <v>270</v>
      </c>
      <c r="D44" s="2" t="s">
        <v>72</v>
      </c>
      <c r="E44" s="2" t="s">
        <v>39</v>
      </c>
      <c r="F44" s="2" t="s">
        <v>337</v>
      </c>
      <c r="G44" s="2" t="s">
        <v>338</v>
      </c>
      <c r="H44" s="4" t="s">
        <v>339</v>
      </c>
      <c r="I44" s="4" t="s">
        <v>340</v>
      </c>
      <c r="J44" s="4" t="s">
        <v>341</v>
      </c>
      <c r="K44" s="2" t="s">
        <v>29</v>
      </c>
      <c r="L44" s="2" t="s">
        <v>285</v>
      </c>
      <c r="M44" s="4" t="s">
        <v>342</v>
      </c>
      <c r="N44" s="5" t="s">
        <v>32</v>
      </c>
      <c r="O44" s="4" t="s">
        <v>343</v>
      </c>
      <c r="P44" s="4" t="s">
        <v>344</v>
      </c>
      <c r="Q44" s="6" t="s">
        <v>35</v>
      </c>
      <c r="R44" s="2" t="s">
        <v>36</v>
      </c>
      <c r="S44" s="7">
        <v>2.4</v>
      </c>
    </row>
    <row r="45" spans="1:19" s="2" customFormat="1" x14ac:dyDescent="0.25">
      <c r="A45" s="2" t="s">
        <v>345</v>
      </c>
      <c r="B45" s="2" t="s">
        <v>336</v>
      </c>
      <c r="C45" s="2" t="s">
        <v>270</v>
      </c>
      <c r="D45" s="2" t="s">
        <v>72</v>
      </c>
      <c r="E45" s="2" t="s">
        <v>39</v>
      </c>
      <c r="F45" s="2" t="s">
        <v>337</v>
      </c>
      <c r="G45" s="2" t="s">
        <v>346</v>
      </c>
      <c r="H45" s="4" t="s">
        <v>347</v>
      </c>
      <c r="I45" s="4" t="s">
        <v>340</v>
      </c>
      <c r="J45" s="4" t="s">
        <v>341</v>
      </c>
      <c r="K45" s="2" t="s">
        <v>335</v>
      </c>
      <c r="L45" s="2" t="s">
        <v>285</v>
      </c>
      <c r="M45" s="4" t="s">
        <v>342</v>
      </c>
      <c r="N45" s="5" t="s">
        <v>32</v>
      </c>
      <c r="O45" s="4" t="s">
        <v>348</v>
      </c>
      <c r="P45" s="4" t="s">
        <v>344</v>
      </c>
      <c r="Q45" s="6" t="s">
        <v>35</v>
      </c>
      <c r="R45" s="2" t="s">
        <v>36</v>
      </c>
      <c r="S45" s="7">
        <v>1.2</v>
      </c>
    </row>
    <row r="46" spans="1:19" s="2" customFormat="1" x14ac:dyDescent="0.25">
      <c r="A46" s="2" t="s">
        <v>349</v>
      </c>
      <c r="B46" s="2" t="s">
        <v>336</v>
      </c>
      <c r="C46" s="2" t="s">
        <v>270</v>
      </c>
      <c r="D46" s="2" t="s">
        <v>72</v>
      </c>
      <c r="E46" s="2" t="s">
        <v>53</v>
      </c>
      <c r="F46" s="2" t="s">
        <v>337</v>
      </c>
      <c r="G46" s="2" t="s">
        <v>350</v>
      </c>
      <c r="H46" s="4" t="s">
        <v>351</v>
      </c>
      <c r="I46" s="4" t="s">
        <v>340</v>
      </c>
      <c r="J46" s="4" t="s">
        <v>56</v>
      </c>
      <c r="K46" s="2" t="s">
        <v>352</v>
      </c>
      <c r="L46" s="2" t="s">
        <v>30</v>
      </c>
      <c r="M46" s="4" t="s">
        <v>58</v>
      </c>
      <c r="N46" s="5" t="s">
        <v>32</v>
      </c>
      <c r="O46" s="4" t="s">
        <v>353</v>
      </c>
      <c r="P46" s="4" t="s">
        <v>344</v>
      </c>
      <c r="Q46" s="2" t="s">
        <v>60</v>
      </c>
      <c r="R46" s="2" t="s">
        <v>36</v>
      </c>
      <c r="S46" s="7">
        <v>0.4</v>
      </c>
    </row>
    <row r="47" spans="1:19" s="2" customFormat="1" x14ac:dyDescent="0.25">
      <c r="A47" s="2" t="s">
        <v>354</v>
      </c>
      <c r="B47" s="2" t="s">
        <v>355</v>
      </c>
      <c r="C47" s="2" t="s">
        <v>270</v>
      </c>
      <c r="D47" s="2" t="s">
        <v>72</v>
      </c>
      <c r="E47" s="2" t="s">
        <v>318</v>
      </c>
      <c r="F47" s="2" t="s">
        <v>94</v>
      </c>
      <c r="G47" s="2" t="s">
        <v>356</v>
      </c>
      <c r="H47" s="4" t="s">
        <v>357</v>
      </c>
      <c r="I47" s="4" t="s">
        <v>358</v>
      </c>
      <c r="J47" s="4" t="s">
        <v>359</v>
      </c>
      <c r="K47" s="2" t="s">
        <v>29</v>
      </c>
      <c r="L47" s="2" t="s">
        <v>285</v>
      </c>
      <c r="M47" s="4" t="s">
        <v>360</v>
      </c>
      <c r="N47" s="5" t="s">
        <v>32</v>
      </c>
      <c r="O47" s="4" t="s">
        <v>361</v>
      </c>
      <c r="P47" s="4" t="s">
        <v>362</v>
      </c>
      <c r="Q47" s="8" t="s">
        <v>278</v>
      </c>
      <c r="R47" s="2" t="s">
        <v>36</v>
      </c>
      <c r="S47" s="7">
        <v>2.6</v>
      </c>
    </row>
    <row r="48" spans="1:19" s="2" customFormat="1" x14ac:dyDescent="0.25">
      <c r="A48" s="2" t="s">
        <v>363</v>
      </c>
      <c r="B48" s="2" t="s">
        <v>355</v>
      </c>
      <c r="C48" s="2" t="s">
        <v>270</v>
      </c>
      <c r="D48" s="2" t="s">
        <v>72</v>
      </c>
      <c r="E48" s="2" t="s">
        <v>318</v>
      </c>
      <c r="F48" s="2" t="s">
        <v>94</v>
      </c>
      <c r="G48" s="2" t="s">
        <v>364</v>
      </c>
      <c r="H48" s="4" t="s">
        <v>365</v>
      </c>
      <c r="I48" s="4" t="s">
        <v>358</v>
      </c>
      <c r="J48" s="4" t="s">
        <v>359</v>
      </c>
      <c r="K48" s="2" t="s">
        <v>354</v>
      </c>
      <c r="L48" s="2" t="s">
        <v>285</v>
      </c>
      <c r="M48" s="4" t="s">
        <v>360</v>
      </c>
      <c r="N48" s="5" t="s">
        <v>32</v>
      </c>
      <c r="O48" s="4" t="s">
        <v>366</v>
      </c>
      <c r="P48" s="4" t="s">
        <v>362</v>
      </c>
      <c r="Q48" s="8" t="s">
        <v>278</v>
      </c>
      <c r="R48" s="2" t="s">
        <v>36</v>
      </c>
      <c r="S48" s="7">
        <v>2.3</v>
      </c>
    </row>
    <row r="49" spans="1:19" s="2" customFormat="1" x14ac:dyDescent="0.25">
      <c r="A49" s="2" t="s">
        <v>367</v>
      </c>
      <c r="B49" s="2" t="s">
        <v>355</v>
      </c>
      <c r="C49" s="2" t="s">
        <v>270</v>
      </c>
      <c r="D49" s="2" t="s">
        <v>72</v>
      </c>
      <c r="E49" s="2" t="s">
        <v>53</v>
      </c>
      <c r="F49" s="2" t="s">
        <v>94</v>
      </c>
      <c r="G49" s="2" t="s">
        <v>368</v>
      </c>
      <c r="H49" s="4" t="s">
        <v>369</v>
      </c>
      <c r="I49" s="4" t="s">
        <v>358</v>
      </c>
      <c r="J49" s="4" t="s">
        <v>56</v>
      </c>
      <c r="K49" s="2" t="s">
        <v>370</v>
      </c>
      <c r="L49" s="2" t="s">
        <v>30</v>
      </c>
      <c r="M49" s="4" t="s">
        <v>58</v>
      </c>
      <c r="N49" s="5" t="s">
        <v>32</v>
      </c>
      <c r="O49" s="4" t="s">
        <v>371</v>
      </c>
      <c r="P49" s="4" t="s">
        <v>362</v>
      </c>
      <c r="Q49" s="2" t="s">
        <v>60</v>
      </c>
      <c r="R49" s="2" t="s">
        <v>36</v>
      </c>
      <c r="S49" s="7">
        <v>0.4</v>
      </c>
    </row>
    <row r="50" spans="1:19" s="2" customFormat="1" x14ac:dyDescent="0.25">
      <c r="A50" s="2" t="s">
        <v>372</v>
      </c>
      <c r="B50" s="2" t="s">
        <v>373</v>
      </c>
      <c r="C50" s="2" t="s">
        <v>270</v>
      </c>
      <c r="D50" s="2" t="s">
        <v>72</v>
      </c>
      <c r="E50" s="2" t="s">
        <v>374</v>
      </c>
      <c r="F50" s="2" t="s">
        <v>94</v>
      </c>
      <c r="G50" s="2" t="s">
        <v>375</v>
      </c>
      <c r="H50" s="4" t="s">
        <v>376</v>
      </c>
      <c r="I50" s="4" t="s">
        <v>377</v>
      </c>
      <c r="J50" s="4" t="s">
        <v>378</v>
      </c>
      <c r="K50" s="2" t="s">
        <v>29</v>
      </c>
      <c r="L50" s="2" t="s">
        <v>285</v>
      </c>
      <c r="M50" s="4" t="s">
        <v>379</v>
      </c>
      <c r="N50" s="5" t="s">
        <v>32</v>
      </c>
      <c r="O50" s="4" t="s">
        <v>380</v>
      </c>
      <c r="P50" s="4" t="s">
        <v>381</v>
      </c>
      <c r="Q50" s="8" t="s">
        <v>278</v>
      </c>
      <c r="R50" s="2" t="s">
        <v>36</v>
      </c>
      <c r="S50" s="7">
        <v>1.8</v>
      </c>
    </row>
    <row r="51" spans="1:19" s="2" customFormat="1" x14ac:dyDescent="0.25">
      <c r="A51" s="2" t="s">
        <v>382</v>
      </c>
      <c r="B51" s="2" t="s">
        <v>373</v>
      </c>
      <c r="C51" s="2" t="s">
        <v>270</v>
      </c>
      <c r="D51" s="2" t="s">
        <v>72</v>
      </c>
      <c r="E51" s="2" t="s">
        <v>374</v>
      </c>
      <c r="F51" s="2" t="s">
        <v>94</v>
      </c>
      <c r="G51" s="2" t="s">
        <v>383</v>
      </c>
      <c r="H51" s="4" t="s">
        <v>384</v>
      </c>
      <c r="I51" s="4" t="s">
        <v>377</v>
      </c>
      <c r="J51" s="4" t="s">
        <v>378</v>
      </c>
      <c r="K51" s="2" t="s">
        <v>372</v>
      </c>
      <c r="L51" s="2" t="s">
        <v>285</v>
      </c>
      <c r="M51" s="4" t="s">
        <v>379</v>
      </c>
      <c r="N51" s="5" t="s">
        <v>32</v>
      </c>
      <c r="O51" s="4" t="s">
        <v>385</v>
      </c>
      <c r="P51" s="4" t="s">
        <v>381</v>
      </c>
      <c r="Q51" s="8" t="s">
        <v>278</v>
      </c>
      <c r="R51" s="2" t="s">
        <v>36</v>
      </c>
      <c r="S51" s="7">
        <v>2</v>
      </c>
    </row>
    <row r="52" spans="1:19" s="2" customFormat="1" x14ac:dyDescent="0.25">
      <c r="A52" s="2" t="s">
        <v>386</v>
      </c>
      <c r="B52" s="2" t="s">
        <v>373</v>
      </c>
      <c r="C52" s="2" t="s">
        <v>270</v>
      </c>
      <c r="D52" s="2" t="s">
        <v>72</v>
      </c>
      <c r="E52" s="2" t="s">
        <v>53</v>
      </c>
      <c r="F52" s="2" t="s">
        <v>94</v>
      </c>
      <c r="G52" s="2" t="s">
        <v>387</v>
      </c>
      <c r="H52" s="4" t="s">
        <v>388</v>
      </c>
      <c r="I52" s="4" t="s">
        <v>377</v>
      </c>
      <c r="J52" s="4" t="s">
        <v>56</v>
      </c>
      <c r="K52" s="2" t="s">
        <v>389</v>
      </c>
      <c r="L52" s="2" t="s">
        <v>30</v>
      </c>
      <c r="M52" s="4" t="s">
        <v>58</v>
      </c>
      <c r="N52" s="5" t="s">
        <v>32</v>
      </c>
      <c r="O52" s="4" t="s">
        <v>390</v>
      </c>
      <c r="P52" s="4" t="s">
        <v>381</v>
      </c>
      <c r="Q52" s="2" t="s">
        <v>60</v>
      </c>
      <c r="R52" s="2" t="s">
        <v>36</v>
      </c>
      <c r="S52" s="7">
        <v>0.35</v>
      </c>
    </row>
    <row r="53" spans="1:19" s="2" customFormat="1" x14ac:dyDescent="0.25">
      <c r="A53" s="2" t="s">
        <v>391</v>
      </c>
      <c r="B53" s="2" t="s">
        <v>392</v>
      </c>
      <c r="C53" s="2" t="s">
        <v>270</v>
      </c>
      <c r="D53" s="2" t="s">
        <v>122</v>
      </c>
      <c r="E53" s="2" t="s">
        <v>23</v>
      </c>
      <c r="F53" s="2" t="s">
        <v>159</v>
      </c>
      <c r="G53" s="2" t="s">
        <v>393</v>
      </c>
      <c r="H53" s="4" t="s">
        <v>394</v>
      </c>
      <c r="I53" s="4" t="s">
        <v>395</v>
      </c>
      <c r="J53" s="4" t="s">
        <v>396</v>
      </c>
      <c r="K53" s="2" t="s">
        <v>29</v>
      </c>
      <c r="L53" s="2" t="s">
        <v>30</v>
      </c>
      <c r="M53" s="4" t="s">
        <v>397</v>
      </c>
      <c r="N53" s="5" t="s">
        <v>32</v>
      </c>
      <c r="O53" s="4" t="s">
        <v>398</v>
      </c>
      <c r="P53" s="4" t="s">
        <v>399</v>
      </c>
      <c r="Q53" s="2" t="s">
        <v>60</v>
      </c>
      <c r="R53" s="2" t="s">
        <v>36</v>
      </c>
      <c r="S53" s="7">
        <v>0.9</v>
      </c>
    </row>
    <row r="54" spans="1:19" s="2" customFormat="1" x14ac:dyDescent="0.25">
      <c r="A54" s="2" t="s">
        <v>400</v>
      </c>
      <c r="B54" s="2" t="s">
        <v>401</v>
      </c>
      <c r="C54" s="2" t="s">
        <v>270</v>
      </c>
      <c r="D54" s="2" t="s">
        <v>122</v>
      </c>
      <c r="E54" s="2" t="s">
        <v>318</v>
      </c>
      <c r="F54" s="2" t="s">
        <v>94</v>
      </c>
      <c r="G54" s="2" t="s">
        <v>402</v>
      </c>
      <c r="H54" s="4" t="s">
        <v>403</v>
      </c>
      <c r="I54" s="4" t="s">
        <v>404</v>
      </c>
      <c r="J54" s="4" t="s">
        <v>405</v>
      </c>
      <c r="K54" s="2" t="s">
        <v>29</v>
      </c>
      <c r="L54" s="2" t="s">
        <v>44</v>
      </c>
      <c r="M54" s="4" t="s">
        <v>406</v>
      </c>
      <c r="N54" s="5" t="s">
        <v>32</v>
      </c>
      <c r="O54" s="4" t="s">
        <v>407</v>
      </c>
      <c r="P54" s="4" t="s">
        <v>408</v>
      </c>
      <c r="Q54" s="2" t="s">
        <v>60</v>
      </c>
      <c r="R54" s="2" t="s">
        <v>36</v>
      </c>
      <c r="S54" s="7">
        <v>0.8</v>
      </c>
    </row>
    <row r="55" spans="1:19" s="2" customFormat="1" x14ac:dyDescent="0.25">
      <c r="A55" s="2" t="s">
        <v>409</v>
      </c>
      <c r="B55" s="2" t="s">
        <v>410</v>
      </c>
      <c r="C55" s="2" t="s">
        <v>270</v>
      </c>
      <c r="D55" s="2" t="s">
        <v>122</v>
      </c>
      <c r="E55" s="2" t="s">
        <v>318</v>
      </c>
      <c r="F55" s="2" t="s">
        <v>94</v>
      </c>
      <c r="G55" s="2" t="s">
        <v>411</v>
      </c>
      <c r="H55" s="4" t="s">
        <v>412</v>
      </c>
      <c r="I55" s="4" t="s">
        <v>413</v>
      </c>
      <c r="J55" s="4" t="s">
        <v>414</v>
      </c>
      <c r="K55" s="2" t="s">
        <v>29</v>
      </c>
      <c r="L55" s="2" t="s">
        <v>44</v>
      </c>
      <c r="M55" s="4" t="s">
        <v>415</v>
      </c>
      <c r="N55" s="5" t="s">
        <v>32</v>
      </c>
      <c r="O55" s="4" t="s">
        <v>416</v>
      </c>
      <c r="P55" s="4" t="s">
        <v>417</v>
      </c>
      <c r="Q55" s="2" t="s">
        <v>60</v>
      </c>
      <c r="R55" s="2" t="s">
        <v>36</v>
      </c>
      <c r="S55" s="7">
        <v>1</v>
      </c>
    </row>
    <row r="56" spans="1:19" s="2" customFormat="1" x14ac:dyDescent="0.25">
      <c r="A56" s="2" t="s">
        <v>418</v>
      </c>
      <c r="B56" s="2" t="s">
        <v>419</v>
      </c>
      <c r="C56" s="2" t="s">
        <v>270</v>
      </c>
      <c r="D56" s="2" t="s">
        <v>122</v>
      </c>
      <c r="E56" s="2" t="s">
        <v>318</v>
      </c>
      <c r="F56" s="2" t="s">
        <v>94</v>
      </c>
      <c r="G56" s="2" t="s">
        <v>420</v>
      </c>
      <c r="H56" s="4" t="s">
        <v>421</v>
      </c>
      <c r="I56" s="4" t="s">
        <v>422</v>
      </c>
      <c r="J56" s="4" t="s">
        <v>423</v>
      </c>
      <c r="K56" s="2" t="s">
        <v>29</v>
      </c>
      <c r="L56" s="2" t="s">
        <v>44</v>
      </c>
      <c r="M56" s="4" t="s">
        <v>424</v>
      </c>
      <c r="N56" s="5" t="s">
        <v>32</v>
      </c>
      <c r="O56" s="4" t="s">
        <v>425</v>
      </c>
      <c r="P56" s="4" t="s">
        <v>426</v>
      </c>
      <c r="Q56" s="2" t="s">
        <v>60</v>
      </c>
      <c r="R56" s="2" t="s">
        <v>36</v>
      </c>
      <c r="S56" s="7">
        <v>1.9</v>
      </c>
    </row>
    <row r="57" spans="1:19" s="2" customFormat="1" x14ac:dyDescent="0.25">
      <c r="A57" s="2" t="s">
        <v>427</v>
      </c>
      <c r="B57" s="2" t="s">
        <v>428</v>
      </c>
      <c r="C57" s="2" t="s">
        <v>270</v>
      </c>
      <c r="D57" s="2" t="s">
        <v>122</v>
      </c>
      <c r="E57" s="2" t="s">
        <v>318</v>
      </c>
      <c r="F57" s="2" t="s">
        <v>94</v>
      </c>
      <c r="G57" s="2" t="s">
        <v>429</v>
      </c>
      <c r="H57" s="4" t="s">
        <v>430</v>
      </c>
      <c r="I57" s="4" t="s">
        <v>431</v>
      </c>
      <c r="J57" s="4" t="s">
        <v>432</v>
      </c>
      <c r="K57" s="2" t="s">
        <v>29</v>
      </c>
      <c r="L57" s="2" t="s">
        <v>30</v>
      </c>
      <c r="M57" s="4" t="s">
        <v>433</v>
      </c>
      <c r="N57" s="5" t="s">
        <v>32</v>
      </c>
      <c r="O57" s="4" t="s">
        <v>434</v>
      </c>
      <c r="P57" s="4" t="s">
        <v>435</v>
      </c>
      <c r="Q57" s="2" t="s">
        <v>60</v>
      </c>
      <c r="R57" s="2" t="s">
        <v>36</v>
      </c>
      <c r="S57" s="7">
        <v>1.2</v>
      </c>
    </row>
    <row r="58" spans="1:19" s="2" customFormat="1" x14ac:dyDescent="0.25">
      <c r="A58" s="2" t="s">
        <v>436</v>
      </c>
      <c r="B58" s="2" t="s">
        <v>437</v>
      </c>
      <c r="C58" s="2" t="s">
        <v>270</v>
      </c>
      <c r="D58" s="2" t="s">
        <v>122</v>
      </c>
      <c r="E58" s="2" t="s">
        <v>318</v>
      </c>
      <c r="F58" s="2" t="s">
        <v>94</v>
      </c>
      <c r="G58" s="2" t="s">
        <v>438</v>
      </c>
      <c r="H58" s="4" t="s">
        <v>439</v>
      </c>
      <c r="I58" s="4" t="s">
        <v>440</v>
      </c>
      <c r="J58" s="4" t="s">
        <v>441</v>
      </c>
      <c r="K58" s="2" t="s">
        <v>29</v>
      </c>
      <c r="L58" s="2" t="s">
        <v>44</v>
      </c>
      <c r="M58" s="4" t="s">
        <v>442</v>
      </c>
      <c r="N58" s="5" t="s">
        <v>32</v>
      </c>
      <c r="O58" s="4" t="s">
        <v>443</v>
      </c>
      <c r="P58" s="4" t="s">
        <v>444</v>
      </c>
      <c r="Q58" s="8" t="s">
        <v>278</v>
      </c>
      <c r="R58" s="2" t="s">
        <v>36</v>
      </c>
      <c r="S58" s="7">
        <v>1.5</v>
      </c>
    </row>
    <row r="59" spans="1:19" s="2" customFormat="1" x14ac:dyDescent="0.25">
      <c r="A59" s="2" t="s">
        <v>445</v>
      </c>
      <c r="B59" s="2" t="s">
        <v>446</v>
      </c>
      <c r="C59" s="2" t="s">
        <v>270</v>
      </c>
      <c r="D59" s="2" t="s">
        <v>122</v>
      </c>
      <c r="E59" s="2" t="s">
        <v>374</v>
      </c>
      <c r="F59" s="2" t="s">
        <v>94</v>
      </c>
      <c r="G59" s="2" t="s">
        <v>447</v>
      </c>
      <c r="H59" s="4" t="s">
        <v>448</v>
      </c>
      <c r="I59" s="4" t="s">
        <v>449</v>
      </c>
      <c r="J59" s="4" t="s">
        <v>450</v>
      </c>
      <c r="K59" s="2" t="s">
        <v>29</v>
      </c>
      <c r="L59" s="2" t="s">
        <v>44</v>
      </c>
      <c r="M59" s="4" t="s">
        <v>451</v>
      </c>
      <c r="N59" s="5" t="s">
        <v>32</v>
      </c>
      <c r="O59" s="4" t="s">
        <v>452</v>
      </c>
      <c r="P59" s="4" t="s">
        <v>453</v>
      </c>
      <c r="Q59" s="2" t="s">
        <v>60</v>
      </c>
      <c r="R59" s="2" t="s">
        <v>36</v>
      </c>
      <c r="S59" s="7">
        <v>1.7</v>
      </c>
    </row>
    <row r="60" spans="1:19" s="2" customFormat="1" x14ac:dyDescent="0.25">
      <c r="A60" s="2" t="s">
        <v>454</v>
      </c>
      <c r="B60" s="2" t="s">
        <v>455</v>
      </c>
      <c r="C60" s="2" t="s">
        <v>270</v>
      </c>
      <c r="D60" s="2" t="s">
        <v>122</v>
      </c>
      <c r="E60" s="2" t="s">
        <v>374</v>
      </c>
      <c r="F60" s="2" t="s">
        <v>94</v>
      </c>
      <c r="G60" s="2" t="s">
        <v>456</v>
      </c>
      <c r="H60" s="4" t="s">
        <v>457</v>
      </c>
      <c r="I60" s="4" t="s">
        <v>458</v>
      </c>
      <c r="J60" s="4" t="s">
        <v>459</v>
      </c>
      <c r="K60" s="2" t="s">
        <v>29</v>
      </c>
      <c r="L60" s="2" t="s">
        <v>44</v>
      </c>
      <c r="M60" s="4" t="s">
        <v>460</v>
      </c>
      <c r="N60" s="5" t="s">
        <v>32</v>
      </c>
      <c r="O60" s="4" t="s">
        <v>461</v>
      </c>
      <c r="P60" s="4" t="s">
        <v>462</v>
      </c>
      <c r="Q60" s="2" t="s">
        <v>60</v>
      </c>
      <c r="R60" s="2" t="s">
        <v>36</v>
      </c>
      <c r="S60" s="7">
        <v>2.1</v>
      </c>
    </row>
    <row r="61" spans="1:19" s="2" customFormat="1" x14ac:dyDescent="0.25">
      <c r="A61" s="2" t="s">
        <v>463</v>
      </c>
      <c r="B61" s="2" t="s">
        <v>464</v>
      </c>
      <c r="C61" s="2" t="s">
        <v>270</v>
      </c>
      <c r="D61" s="2" t="s">
        <v>122</v>
      </c>
      <c r="E61" s="2" t="s">
        <v>374</v>
      </c>
      <c r="F61" s="2" t="s">
        <v>94</v>
      </c>
      <c r="G61" s="2" t="s">
        <v>465</v>
      </c>
      <c r="H61" s="4" t="s">
        <v>466</v>
      </c>
      <c r="I61" s="4" t="s">
        <v>467</v>
      </c>
      <c r="J61" s="4" t="s">
        <v>468</v>
      </c>
      <c r="K61" s="2" t="s">
        <v>29</v>
      </c>
      <c r="L61" s="2" t="s">
        <v>44</v>
      </c>
      <c r="M61" s="4" t="s">
        <v>469</v>
      </c>
      <c r="N61" s="5" t="s">
        <v>32</v>
      </c>
      <c r="O61" s="4" t="s">
        <v>470</v>
      </c>
      <c r="P61" s="4" t="s">
        <v>471</v>
      </c>
      <c r="Q61" s="2" t="s">
        <v>60</v>
      </c>
      <c r="R61" s="2" t="s">
        <v>36</v>
      </c>
      <c r="S61" s="7">
        <v>1.6</v>
      </c>
    </row>
    <row r="62" spans="1:19" s="2" customFormat="1" x14ac:dyDescent="0.25">
      <c r="A62" s="2" t="s">
        <v>472</v>
      </c>
      <c r="B62" s="2" t="s">
        <v>473</v>
      </c>
      <c r="C62" s="2" t="s">
        <v>270</v>
      </c>
      <c r="D62" s="2" t="s">
        <v>122</v>
      </c>
      <c r="E62" s="2" t="s">
        <v>374</v>
      </c>
      <c r="F62" s="2" t="s">
        <v>94</v>
      </c>
      <c r="G62" s="2" t="s">
        <v>474</v>
      </c>
      <c r="H62" s="4" t="s">
        <v>475</v>
      </c>
      <c r="I62" s="4" t="s">
        <v>476</v>
      </c>
      <c r="J62" s="4" t="s">
        <v>477</v>
      </c>
      <c r="K62" s="2" t="s">
        <v>29</v>
      </c>
      <c r="L62" s="2" t="s">
        <v>44</v>
      </c>
      <c r="M62" s="4" t="s">
        <v>478</v>
      </c>
      <c r="N62" s="5" t="s">
        <v>32</v>
      </c>
      <c r="O62" s="4" t="s">
        <v>479</v>
      </c>
      <c r="P62" s="4" t="s">
        <v>480</v>
      </c>
      <c r="Q62" s="8" t="s">
        <v>278</v>
      </c>
      <c r="R62" s="2" t="s">
        <v>36</v>
      </c>
      <c r="S62" s="7">
        <v>1.8</v>
      </c>
    </row>
    <row r="63" spans="1:19" s="2" customFormat="1" x14ac:dyDescent="0.25">
      <c r="A63" s="2" t="s">
        <v>481</v>
      </c>
      <c r="B63" s="2" t="s">
        <v>482</v>
      </c>
      <c r="C63" s="2" t="s">
        <v>270</v>
      </c>
      <c r="D63" s="2" t="s">
        <v>122</v>
      </c>
      <c r="E63" s="2" t="s">
        <v>374</v>
      </c>
      <c r="F63" s="2" t="s">
        <v>94</v>
      </c>
      <c r="G63" s="2" t="s">
        <v>483</v>
      </c>
      <c r="H63" s="4" t="s">
        <v>484</v>
      </c>
      <c r="I63" s="4" t="s">
        <v>485</v>
      </c>
      <c r="J63" s="4" t="s">
        <v>486</v>
      </c>
      <c r="K63" s="2" t="s">
        <v>29</v>
      </c>
      <c r="L63" s="2" t="s">
        <v>44</v>
      </c>
      <c r="M63" s="4" t="s">
        <v>487</v>
      </c>
      <c r="N63" s="5" t="s">
        <v>32</v>
      </c>
      <c r="O63" s="4" t="s">
        <v>488</v>
      </c>
      <c r="P63" s="4" t="s">
        <v>489</v>
      </c>
      <c r="Q63" s="2" t="s">
        <v>60</v>
      </c>
      <c r="R63" s="2" t="s">
        <v>36</v>
      </c>
      <c r="S63" s="7">
        <v>1.1</v>
      </c>
    </row>
    <row r="64" spans="1:19" s="2" customFormat="1" x14ac:dyDescent="0.25">
      <c r="A64" s="2" t="s">
        <v>490</v>
      </c>
      <c r="B64" s="2" t="s">
        <v>491</v>
      </c>
      <c r="C64" s="2" t="s">
        <v>270</v>
      </c>
      <c r="D64" s="2" t="s">
        <v>122</v>
      </c>
      <c r="E64" s="2" t="s">
        <v>374</v>
      </c>
      <c r="F64" s="2" t="s">
        <v>94</v>
      </c>
      <c r="G64" s="2" t="s">
        <v>492</v>
      </c>
      <c r="H64" s="4" t="s">
        <v>493</v>
      </c>
      <c r="I64" s="4" t="s">
        <v>494</v>
      </c>
      <c r="J64" s="4" t="s">
        <v>495</v>
      </c>
      <c r="K64" s="2" t="s">
        <v>29</v>
      </c>
      <c r="L64" s="2" t="s">
        <v>44</v>
      </c>
      <c r="M64" s="4" t="s">
        <v>496</v>
      </c>
      <c r="N64" s="5" t="s">
        <v>32</v>
      </c>
      <c r="O64" s="4" t="s">
        <v>497</v>
      </c>
      <c r="P64" s="4" t="s">
        <v>498</v>
      </c>
      <c r="Q64" s="2" t="s">
        <v>60</v>
      </c>
      <c r="R64" s="2" t="s">
        <v>36</v>
      </c>
      <c r="S64" s="7">
        <v>1.4</v>
      </c>
    </row>
    <row r="65" spans="1:19" s="2" customFormat="1" x14ac:dyDescent="0.25">
      <c r="A65" s="2" t="s">
        <v>499</v>
      </c>
      <c r="B65" s="2" t="s">
        <v>500</v>
      </c>
      <c r="C65" s="2" t="s">
        <v>270</v>
      </c>
      <c r="D65" s="2" t="s">
        <v>122</v>
      </c>
      <c r="E65" s="2" t="s">
        <v>224</v>
      </c>
      <c r="F65" s="2" t="s">
        <v>94</v>
      </c>
      <c r="G65" s="2" t="s">
        <v>501</v>
      </c>
      <c r="H65" s="4" t="s">
        <v>502</v>
      </c>
      <c r="I65" s="4" t="s">
        <v>503</v>
      </c>
      <c r="J65" s="4" t="s">
        <v>504</v>
      </c>
      <c r="K65" s="2" t="s">
        <v>29</v>
      </c>
      <c r="L65" s="2" t="s">
        <v>44</v>
      </c>
      <c r="M65" s="4" t="s">
        <v>505</v>
      </c>
      <c r="N65" s="5" t="s">
        <v>32</v>
      </c>
      <c r="O65" s="4" t="s">
        <v>506</v>
      </c>
      <c r="P65" s="4" t="s">
        <v>101</v>
      </c>
      <c r="Q65" s="8" t="s">
        <v>278</v>
      </c>
      <c r="R65" s="2" t="s">
        <v>36</v>
      </c>
      <c r="S65" s="7">
        <v>1.6</v>
      </c>
    </row>
    <row r="66" spans="1:19" s="2" customFormat="1" x14ac:dyDescent="0.25">
      <c r="A66" s="2" t="s">
        <v>507</v>
      </c>
      <c r="B66" s="2" t="s">
        <v>500</v>
      </c>
      <c r="C66" s="2" t="s">
        <v>270</v>
      </c>
      <c r="D66" s="2" t="s">
        <v>122</v>
      </c>
      <c r="E66" s="2" t="s">
        <v>224</v>
      </c>
      <c r="F66" s="2" t="s">
        <v>94</v>
      </c>
      <c r="G66" s="2" t="s">
        <v>508</v>
      </c>
      <c r="H66" s="4" t="s">
        <v>509</v>
      </c>
      <c r="I66" s="4" t="s">
        <v>503</v>
      </c>
      <c r="J66" s="4" t="s">
        <v>504</v>
      </c>
      <c r="K66" s="2" t="s">
        <v>499</v>
      </c>
      <c r="L66" s="2" t="s">
        <v>44</v>
      </c>
      <c r="M66" s="4" t="s">
        <v>505</v>
      </c>
      <c r="N66" s="5" t="s">
        <v>32</v>
      </c>
      <c r="O66" s="4" t="s">
        <v>510</v>
      </c>
      <c r="P66" s="4" t="s">
        <v>101</v>
      </c>
      <c r="Q66" s="8" t="s">
        <v>278</v>
      </c>
      <c r="R66" s="2" t="s">
        <v>36</v>
      </c>
      <c r="S66" s="7">
        <v>2.8</v>
      </c>
    </row>
    <row r="67" spans="1:19" s="2" customFormat="1" x14ac:dyDescent="0.25">
      <c r="A67" s="2" t="s">
        <v>511</v>
      </c>
      <c r="B67" s="2" t="s">
        <v>500</v>
      </c>
      <c r="C67" s="2" t="s">
        <v>270</v>
      </c>
      <c r="D67" s="2" t="s">
        <v>122</v>
      </c>
      <c r="E67" s="2" t="s">
        <v>53</v>
      </c>
      <c r="F67" s="2" t="s">
        <v>94</v>
      </c>
      <c r="G67" s="2" t="s">
        <v>512</v>
      </c>
      <c r="H67" s="4" t="s">
        <v>513</v>
      </c>
      <c r="I67" s="4" t="s">
        <v>503</v>
      </c>
      <c r="J67" s="4" t="s">
        <v>56</v>
      </c>
      <c r="K67" s="2" t="s">
        <v>514</v>
      </c>
      <c r="L67" s="2" t="s">
        <v>30</v>
      </c>
      <c r="M67" s="4" t="s">
        <v>58</v>
      </c>
      <c r="N67" s="5" t="s">
        <v>32</v>
      </c>
      <c r="O67" s="4" t="s">
        <v>515</v>
      </c>
      <c r="P67" s="4" t="s">
        <v>101</v>
      </c>
      <c r="Q67" s="2" t="s">
        <v>60</v>
      </c>
      <c r="R67" s="2" t="s">
        <v>36</v>
      </c>
      <c r="S67" s="7">
        <v>0.35</v>
      </c>
    </row>
    <row r="68" spans="1:19" s="2" customFormat="1" x14ac:dyDescent="0.25">
      <c r="A68" s="2" t="s">
        <v>516</v>
      </c>
      <c r="B68" s="2" t="s">
        <v>517</v>
      </c>
      <c r="C68" s="2" t="s">
        <v>270</v>
      </c>
      <c r="D68" s="2" t="s">
        <v>122</v>
      </c>
      <c r="E68" s="2" t="s">
        <v>224</v>
      </c>
      <c r="F68" s="2" t="s">
        <v>94</v>
      </c>
      <c r="G68" s="2" t="s">
        <v>518</v>
      </c>
      <c r="H68" s="4" t="s">
        <v>519</v>
      </c>
      <c r="I68" s="4" t="s">
        <v>520</v>
      </c>
      <c r="J68" s="4" t="s">
        <v>521</v>
      </c>
      <c r="K68" s="2" t="s">
        <v>29</v>
      </c>
      <c r="L68" s="2" t="s">
        <v>44</v>
      </c>
      <c r="M68" s="4" t="s">
        <v>522</v>
      </c>
      <c r="N68" s="5" t="s">
        <v>32</v>
      </c>
      <c r="O68" s="4" t="s">
        <v>523</v>
      </c>
      <c r="P68" s="4" t="s">
        <v>524</v>
      </c>
      <c r="Q68" s="8" t="s">
        <v>278</v>
      </c>
      <c r="R68" s="2" t="s">
        <v>36</v>
      </c>
      <c r="S68" s="7">
        <v>1.3</v>
      </c>
    </row>
    <row r="69" spans="1:19" s="2" customFormat="1" x14ac:dyDescent="0.25">
      <c r="A69" s="2" t="s">
        <v>525</v>
      </c>
      <c r="B69" s="2" t="s">
        <v>517</v>
      </c>
      <c r="C69" s="2" t="s">
        <v>270</v>
      </c>
      <c r="D69" s="2" t="s">
        <v>122</v>
      </c>
      <c r="E69" s="2" t="s">
        <v>224</v>
      </c>
      <c r="F69" s="2" t="s">
        <v>94</v>
      </c>
      <c r="G69" s="2" t="s">
        <v>526</v>
      </c>
      <c r="H69" s="4" t="s">
        <v>527</v>
      </c>
      <c r="I69" s="4" t="s">
        <v>520</v>
      </c>
      <c r="J69" s="4" t="s">
        <v>521</v>
      </c>
      <c r="K69" s="2" t="s">
        <v>516</v>
      </c>
      <c r="L69" s="2" t="s">
        <v>44</v>
      </c>
      <c r="M69" s="4" t="s">
        <v>522</v>
      </c>
      <c r="N69" s="5" t="s">
        <v>32</v>
      </c>
      <c r="O69" s="4" t="s">
        <v>528</v>
      </c>
      <c r="P69" s="4" t="s">
        <v>524</v>
      </c>
      <c r="Q69" s="8" t="s">
        <v>278</v>
      </c>
      <c r="R69" s="2" t="s">
        <v>36</v>
      </c>
      <c r="S69" s="7">
        <v>2.3</v>
      </c>
    </row>
    <row r="70" spans="1:19" s="2" customFormat="1" x14ac:dyDescent="0.25">
      <c r="A70" s="2" t="s">
        <v>529</v>
      </c>
      <c r="B70" s="2" t="s">
        <v>517</v>
      </c>
      <c r="C70" s="2" t="s">
        <v>270</v>
      </c>
      <c r="D70" s="2" t="s">
        <v>122</v>
      </c>
      <c r="E70" s="2" t="s">
        <v>53</v>
      </c>
      <c r="F70" s="2" t="s">
        <v>94</v>
      </c>
      <c r="G70" s="2" t="s">
        <v>530</v>
      </c>
      <c r="H70" s="4" t="s">
        <v>531</v>
      </c>
      <c r="I70" s="4" t="s">
        <v>520</v>
      </c>
      <c r="J70" s="4" t="s">
        <v>56</v>
      </c>
      <c r="K70" s="2" t="s">
        <v>532</v>
      </c>
      <c r="L70" s="2" t="s">
        <v>30</v>
      </c>
      <c r="M70" s="4" t="s">
        <v>58</v>
      </c>
      <c r="N70" s="5" t="s">
        <v>32</v>
      </c>
      <c r="O70" s="4" t="s">
        <v>533</v>
      </c>
      <c r="P70" s="4" t="s">
        <v>524</v>
      </c>
      <c r="Q70" s="2" t="s">
        <v>60</v>
      </c>
      <c r="R70" s="2" t="s">
        <v>36</v>
      </c>
      <c r="S70" s="7">
        <v>0.8</v>
      </c>
    </row>
    <row r="71" spans="1:19" s="2" customFormat="1" x14ac:dyDescent="0.25">
      <c r="A71" s="2" t="s">
        <v>534</v>
      </c>
      <c r="B71" s="2" t="s">
        <v>535</v>
      </c>
      <c r="C71" s="2" t="s">
        <v>536</v>
      </c>
      <c r="D71" s="2" t="s">
        <v>72</v>
      </c>
      <c r="E71" s="2" t="s">
        <v>374</v>
      </c>
      <c r="F71" s="2" t="s">
        <v>337</v>
      </c>
      <c r="G71" s="2" t="s">
        <v>537</v>
      </c>
      <c r="H71" s="4" t="s">
        <v>538</v>
      </c>
      <c r="I71" s="4" t="s">
        <v>539</v>
      </c>
      <c r="J71" s="4" t="s">
        <v>540</v>
      </c>
      <c r="K71" s="2" t="s">
        <v>29</v>
      </c>
      <c r="L71" s="2" t="s">
        <v>285</v>
      </c>
      <c r="M71" s="4" t="s">
        <v>541</v>
      </c>
      <c r="N71" s="5" t="s">
        <v>32</v>
      </c>
      <c r="O71" s="4" t="s">
        <v>542</v>
      </c>
      <c r="P71" s="4" t="s">
        <v>543</v>
      </c>
      <c r="Q71" s="6" t="s">
        <v>35</v>
      </c>
      <c r="R71" s="2" t="s">
        <v>36</v>
      </c>
      <c r="S71" s="7">
        <v>2.4</v>
      </c>
    </row>
    <row r="72" spans="1:19" s="2" customFormat="1" x14ac:dyDescent="0.25">
      <c r="A72" s="2" t="s">
        <v>544</v>
      </c>
      <c r="B72" s="2" t="s">
        <v>535</v>
      </c>
      <c r="C72" s="2" t="s">
        <v>536</v>
      </c>
      <c r="D72" s="2" t="s">
        <v>72</v>
      </c>
      <c r="E72" s="2" t="s">
        <v>374</v>
      </c>
      <c r="F72" s="2" t="s">
        <v>337</v>
      </c>
      <c r="G72" s="2" t="s">
        <v>545</v>
      </c>
      <c r="H72" s="4" t="s">
        <v>546</v>
      </c>
      <c r="I72" s="4" t="s">
        <v>539</v>
      </c>
      <c r="J72" s="4" t="s">
        <v>540</v>
      </c>
      <c r="K72" s="2" t="s">
        <v>534</v>
      </c>
      <c r="L72" s="2" t="s">
        <v>285</v>
      </c>
      <c r="M72" s="4" t="s">
        <v>541</v>
      </c>
      <c r="N72" s="5" t="s">
        <v>32</v>
      </c>
      <c r="O72" s="4" t="s">
        <v>547</v>
      </c>
      <c r="P72" s="4" t="s">
        <v>543</v>
      </c>
      <c r="Q72" s="6" t="s">
        <v>35</v>
      </c>
      <c r="R72" s="2" t="s">
        <v>36</v>
      </c>
      <c r="S72" s="7">
        <v>2.2</v>
      </c>
    </row>
    <row r="73" spans="1:19" s="2" customFormat="1" x14ac:dyDescent="0.25">
      <c r="A73" s="2" t="s">
        <v>548</v>
      </c>
      <c r="B73" s="2" t="s">
        <v>535</v>
      </c>
      <c r="C73" s="2" t="s">
        <v>536</v>
      </c>
      <c r="D73" s="2" t="s">
        <v>72</v>
      </c>
      <c r="E73" s="2" t="s">
        <v>53</v>
      </c>
      <c r="F73" s="2" t="s">
        <v>337</v>
      </c>
      <c r="G73" s="2" t="s">
        <v>549</v>
      </c>
      <c r="H73" s="4" t="s">
        <v>550</v>
      </c>
      <c r="I73" s="4" t="s">
        <v>539</v>
      </c>
      <c r="J73" s="4" t="s">
        <v>56</v>
      </c>
      <c r="K73" s="2" t="s">
        <v>551</v>
      </c>
      <c r="L73" s="2" t="s">
        <v>30</v>
      </c>
      <c r="M73" s="4" t="s">
        <v>58</v>
      </c>
      <c r="N73" s="5" t="s">
        <v>32</v>
      </c>
      <c r="O73" s="4" t="s">
        <v>552</v>
      </c>
      <c r="P73" s="4" t="s">
        <v>543</v>
      </c>
      <c r="Q73" s="2" t="s">
        <v>60</v>
      </c>
      <c r="R73" s="2" t="s">
        <v>36</v>
      </c>
      <c r="S73" s="7">
        <v>0.45</v>
      </c>
    </row>
    <row r="74" spans="1:19" s="2" customFormat="1" x14ac:dyDescent="0.25">
      <c r="A74" s="2" t="s">
        <v>553</v>
      </c>
      <c r="B74" s="2" t="s">
        <v>554</v>
      </c>
      <c r="C74" s="2" t="s">
        <v>536</v>
      </c>
      <c r="D74" s="2" t="s">
        <v>122</v>
      </c>
      <c r="E74" s="2" t="s">
        <v>93</v>
      </c>
      <c r="F74" s="2" t="s">
        <v>73</v>
      </c>
      <c r="G74" s="2" t="s">
        <v>555</v>
      </c>
      <c r="H74" s="4" t="s">
        <v>556</v>
      </c>
      <c r="I74" s="4" t="s">
        <v>557</v>
      </c>
      <c r="J74" s="4" t="s">
        <v>558</v>
      </c>
      <c r="K74" s="2" t="s">
        <v>29</v>
      </c>
      <c r="L74" s="2" t="s">
        <v>44</v>
      </c>
      <c r="M74" s="4" t="s">
        <v>559</v>
      </c>
      <c r="N74" s="5" t="s">
        <v>32</v>
      </c>
      <c r="O74" s="4" t="s">
        <v>560</v>
      </c>
      <c r="P74" s="4" t="s">
        <v>561</v>
      </c>
      <c r="Q74" s="6" t="s">
        <v>35</v>
      </c>
      <c r="R74" s="2" t="s">
        <v>36</v>
      </c>
      <c r="S74" s="7">
        <v>2.6</v>
      </c>
    </row>
    <row r="75" spans="1:19" s="2" customFormat="1" x14ac:dyDescent="0.25">
      <c r="A75" s="2" t="s">
        <v>562</v>
      </c>
      <c r="B75" s="2" t="s">
        <v>563</v>
      </c>
      <c r="C75" s="2" t="s">
        <v>536</v>
      </c>
      <c r="D75" s="2" t="s">
        <v>122</v>
      </c>
      <c r="E75" s="2" t="s">
        <v>318</v>
      </c>
      <c r="F75" s="2" t="s">
        <v>94</v>
      </c>
      <c r="G75" s="2" t="s">
        <v>564</v>
      </c>
      <c r="H75" s="4" t="s">
        <v>565</v>
      </c>
      <c r="I75" s="4" t="s">
        <v>566</v>
      </c>
      <c r="J75" s="4" t="s">
        <v>567</v>
      </c>
      <c r="K75" s="2" t="s">
        <v>29</v>
      </c>
      <c r="L75" s="2" t="s">
        <v>44</v>
      </c>
      <c r="M75" s="4" t="s">
        <v>568</v>
      </c>
      <c r="N75" s="5" t="s">
        <v>32</v>
      </c>
      <c r="O75" s="4" t="s">
        <v>569</v>
      </c>
      <c r="P75" s="4" t="s">
        <v>570</v>
      </c>
      <c r="Q75" s="2" t="s">
        <v>60</v>
      </c>
      <c r="R75" s="2" t="s">
        <v>36</v>
      </c>
      <c r="S75" s="7">
        <v>2</v>
      </c>
    </row>
    <row r="76" spans="1:19" s="2" customFormat="1" x14ac:dyDescent="0.25">
      <c r="A76" s="2" t="s">
        <v>571</v>
      </c>
      <c r="B76" s="2" t="s">
        <v>572</v>
      </c>
      <c r="C76" s="2" t="s">
        <v>536</v>
      </c>
      <c r="D76" s="2" t="s">
        <v>122</v>
      </c>
      <c r="E76" s="2" t="s">
        <v>374</v>
      </c>
      <c r="F76" s="2" t="s">
        <v>94</v>
      </c>
      <c r="G76" s="2" t="s">
        <v>573</v>
      </c>
      <c r="H76" s="4" t="s">
        <v>574</v>
      </c>
      <c r="I76" s="4" t="s">
        <v>575</v>
      </c>
      <c r="J76" s="4" t="s">
        <v>576</v>
      </c>
      <c r="K76" s="2" t="s">
        <v>29</v>
      </c>
      <c r="L76" s="2" t="s">
        <v>285</v>
      </c>
      <c r="M76" s="4" t="s">
        <v>577</v>
      </c>
      <c r="N76" s="5" t="s">
        <v>32</v>
      </c>
      <c r="O76" s="4" t="s">
        <v>578</v>
      </c>
      <c r="P76" s="4" t="s">
        <v>579</v>
      </c>
      <c r="Q76" s="8" t="s">
        <v>278</v>
      </c>
      <c r="R76" s="2" t="s">
        <v>36</v>
      </c>
      <c r="S76" s="7">
        <v>2.3</v>
      </c>
    </row>
    <row r="77" spans="1:19" s="2" customFormat="1" x14ac:dyDescent="0.25">
      <c r="A77" s="2" t="s">
        <v>580</v>
      </c>
      <c r="B77" s="2" t="s">
        <v>572</v>
      </c>
      <c r="C77" s="2" t="s">
        <v>536</v>
      </c>
      <c r="D77" s="2" t="s">
        <v>122</v>
      </c>
      <c r="E77" s="2" t="s">
        <v>374</v>
      </c>
      <c r="F77" s="2" t="s">
        <v>94</v>
      </c>
      <c r="G77" s="2" t="s">
        <v>581</v>
      </c>
      <c r="H77" s="4" t="s">
        <v>582</v>
      </c>
      <c r="I77" s="4" t="s">
        <v>575</v>
      </c>
      <c r="J77" s="4" t="s">
        <v>576</v>
      </c>
      <c r="K77" s="2" t="s">
        <v>571</v>
      </c>
      <c r="L77" s="2" t="s">
        <v>285</v>
      </c>
      <c r="M77" s="4" t="s">
        <v>577</v>
      </c>
      <c r="N77" s="5" t="s">
        <v>32</v>
      </c>
      <c r="O77" s="4" t="s">
        <v>583</v>
      </c>
      <c r="P77" s="4" t="s">
        <v>579</v>
      </c>
      <c r="Q77" s="8" t="s">
        <v>278</v>
      </c>
      <c r="R77" s="2" t="s">
        <v>36</v>
      </c>
      <c r="S77" s="7">
        <v>2.5</v>
      </c>
    </row>
    <row r="78" spans="1:19" s="2" customFormat="1" x14ac:dyDescent="0.25">
      <c r="A78" s="2" t="s">
        <v>584</v>
      </c>
      <c r="B78" s="2" t="s">
        <v>572</v>
      </c>
      <c r="C78" s="2" t="s">
        <v>536</v>
      </c>
      <c r="D78" s="2" t="s">
        <v>122</v>
      </c>
      <c r="E78" s="2" t="s">
        <v>53</v>
      </c>
      <c r="F78" s="2" t="s">
        <v>94</v>
      </c>
      <c r="G78" s="2" t="s">
        <v>585</v>
      </c>
      <c r="H78" s="4" t="s">
        <v>586</v>
      </c>
      <c r="I78" s="4" t="s">
        <v>575</v>
      </c>
      <c r="J78" s="4" t="s">
        <v>56</v>
      </c>
      <c r="K78" s="2" t="s">
        <v>587</v>
      </c>
      <c r="L78" s="2" t="s">
        <v>30</v>
      </c>
      <c r="M78" s="4" t="s">
        <v>58</v>
      </c>
      <c r="N78" s="5" t="s">
        <v>32</v>
      </c>
      <c r="O78" s="4" t="s">
        <v>588</v>
      </c>
      <c r="P78" s="4" t="s">
        <v>579</v>
      </c>
      <c r="Q78" s="2" t="s">
        <v>60</v>
      </c>
      <c r="R78" s="2" t="s">
        <v>36</v>
      </c>
      <c r="S78" s="7">
        <v>0.45</v>
      </c>
    </row>
    <row r="79" spans="1:19" s="2" customFormat="1" x14ac:dyDescent="0.25">
      <c r="A79" s="2" t="s">
        <v>589</v>
      </c>
      <c r="B79" s="2" t="s">
        <v>590</v>
      </c>
      <c r="C79" s="2" t="s">
        <v>536</v>
      </c>
      <c r="D79" s="2" t="s">
        <v>122</v>
      </c>
      <c r="E79" s="2" t="s">
        <v>374</v>
      </c>
      <c r="F79" s="2" t="s">
        <v>94</v>
      </c>
      <c r="G79" s="2" t="s">
        <v>591</v>
      </c>
      <c r="H79" s="4" t="s">
        <v>592</v>
      </c>
      <c r="I79" s="4" t="s">
        <v>593</v>
      </c>
      <c r="J79" s="4" t="s">
        <v>594</v>
      </c>
      <c r="K79" s="2" t="s">
        <v>29</v>
      </c>
      <c r="L79" s="2" t="s">
        <v>285</v>
      </c>
      <c r="M79" s="4" t="s">
        <v>595</v>
      </c>
      <c r="N79" s="5" t="s">
        <v>32</v>
      </c>
      <c r="O79" s="4" t="s">
        <v>596</v>
      </c>
      <c r="P79" s="4" t="s">
        <v>597</v>
      </c>
      <c r="Q79" s="8" t="s">
        <v>278</v>
      </c>
      <c r="R79" s="2" t="s">
        <v>36</v>
      </c>
      <c r="S79" s="7">
        <v>1.7</v>
      </c>
    </row>
    <row r="80" spans="1:19" s="2" customFormat="1" x14ac:dyDescent="0.25">
      <c r="A80" s="2" t="s">
        <v>598</v>
      </c>
      <c r="B80" s="2" t="s">
        <v>590</v>
      </c>
      <c r="C80" s="2" t="s">
        <v>536</v>
      </c>
      <c r="D80" s="2" t="s">
        <v>122</v>
      </c>
      <c r="E80" s="2" t="s">
        <v>374</v>
      </c>
      <c r="F80" s="2" t="s">
        <v>94</v>
      </c>
      <c r="G80" s="2" t="s">
        <v>599</v>
      </c>
      <c r="H80" s="4" t="s">
        <v>600</v>
      </c>
      <c r="I80" s="4" t="s">
        <v>593</v>
      </c>
      <c r="J80" s="4" t="s">
        <v>594</v>
      </c>
      <c r="K80" s="2" t="s">
        <v>589</v>
      </c>
      <c r="L80" s="2" t="s">
        <v>285</v>
      </c>
      <c r="M80" s="4" t="s">
        <v>595</v>
      </c>
      <c r="N80" s="5" t="s">
        <v>32</v>
      </c>
      <c r="O80" s="4" t="s">
        <v>601</v>
      </c>
      <c r="P80" s="4" t="s">
        <v>597</v>
      </c>
      <c r="Q80" s="8" t="s">
        <v>278</v>
      </c>
      <c r="R80" s="2" t="s">
        <v>36</v>
      </c>
      <c r="S80" s="7">
        <v>2.4</v>
      </c>
    </row>
    <row r="81" spans="1:19" s="2" customFormat="1" x14ac:dyDescent="0.25">
      <c r="A81" s="2" t="s">
        <v>602</v>
      </c>
      <c r="B81" s="2" t="s">
        <v>590</v>
      </c>
      <c r="C81" s="2" t="s">
        <v>536</v>
      </c>
      <c r="D81" s="2" t="s">
        <v>122</v>
      </c>
      <c r="E81" s="2" t="s">
        <v>53</v>
      </c>
      <c r="F81" s="2" t="s">
        <v>94</v>
      </c>
      <c r="G81" s="2" t="s">
        <v>603</v>
      </c>
      <c r="H81" s="4" t="s">
        <v>604</v>
      </c>
      <c r="I81" s="4" t="s">
        <v>593</v>
      </c>
      <c r="J81" s="4" t="s">
        <v>56</v>
      </c>
      <c r="K81" s="2" t="s">
        <v>605</v>
      </c>
      <c r="L81" s="2" t="s">
        <v>30</v>
      </c>
      <c r="M81" s="4" t="s">
        <v>58</v>
      </c>
      <c r="N81" s="5" t="s">
        <v>32</v>
      </c>
      <c r="O81" s="4" t="s">
        <v>606</v>
      </c>
      <c r="P81" s="4" t="s">
        <v>597</v>
      </c>
      <c r="Q81" s="2" t="s">
        <v>60</v>
      </c>
      <c r="R81" s="2" t="s">
        <v>36</v>
      </c>
      <c r="S81" s="7">
        <v>0.4</v>
      </c>
    </row>
    <row r="82" spans="1:19" s="2" customFormat="1" x14ac:dyDescent="0.25">
      <c r="A82" s="2" t="s">
        <v>607</v>
      </c>
      <c r="B82" s="2" t="s">
        <v>608</v>
      </c>
      <c r="C82" s="2" t="s">
        <v>536</v>
      </c>
      <c r="D82" s="2" t="s">
        <v>122</v>
      </c>
      <c r="E82" s="2" t="s">
        <v>374</v>
      </c>
      <c r="F82" s="2" t="s">
        <v>337</v>
      </c>
      <c r="G82" s="2" t="s">
        <v>609</v>
      </c>
      <c r="H82" s="4" t="s">
        <v>610</v>
      </c>
      <c r="I82" s="4" t="s">
        <v>611</v>
      </c>
      <c r="J82" s="4" t="s">
        <v>612</v>
      </c>
      <c r="K82" s="2" t="s">
        <v>29</v>
      </c>
      <c r="L82" s="2" t="s">
        <v>285</v>
      </c>
      <c r="M82" s="4" t="s">
        <v>613</v>
      </c>
      <c r="N82" s="5" t="s">
        <v>32</v>
      </c>
      <c r="O82" s="4" t="s">
        <v>614</v>
      </c>
      <c r="P82" s="4" t="s">
        <v>615</v>
      </c>
      <c r="Q82" s="6" t="s">
        <v>35</v>
      </c>
      <c r="R82" s="2" t="s">
        <v>36</v>
      </c>
      <c r="S82" s="7">
        <v>2.6</v>
      </c>
    </row>
    <row r="83" spans="1:19" s="2" customFormat="1" x14ac:dyDescent="0.25">
      <c r="A83" s="2" t="s">
        <v>616</v>
      </c>
      <c r="B83" s="2" t="s">
        <v>608</v>
      </c>
      <c r="C83" s="2" t="s">
        <v>536</v>
      </c>
      <c r="D83" s="2" t="s">
        <v>122</v>
      </c>
      <c r="E83" s="2" t="s">
        <v>374</v>
      </c>
      <c r="F83" s="2" t="s">
        <v>337</v>
      </c>
      <c r="G83" s="2" t="s">
        <v>617</v>
      </c>
      <c r="H83" s="4" t="s">
        <v>618</v>
      </c>
      <c r="I83" s="4" t="s">
        <v>611</v>
      </c>
      <c r="J83" s="4" t="s">
        <v>612</v>
      </c>
      <c r="K83" s="2" t="s">
        <v>607</v>
      </c>
      <c r="L83" s="2" t="s">
        <v>285</v>
      </c>
      <c r="M83" s="4" t="s">
        <v>613</v>
      </c>
      <c r="N83" s="5" t="s">
        <v>32</v>
      </c>
      <c r="O83" s="4" t="s">
        <v>619</v>
      </c>
      <c r="P83" s="4" t="s">
        <v>615</v>
      </c>
      <c r="Q83" s="6" t="s">
        <v>35</v>
      </c>
      <c r="R83" s="2" t="s">
        <v>36</v>
      </c>
      <c r="S83" s="7">
        <v>2.5</v>
      </c>
    </row>
    <row r="84" spans="1:19" s="2" customFormat="1" x14ac:dyDescent="0.25">
      <c r="A84" s="2" t="s">
        <v>620</v>
      </c>
      <c r="B84" s="2" t="s">
        <v>608</v>
      </c>
      <c r="C84" s="2" t="s">
        <v>536</v>
      </c>
      <c r="D84" s="2" t="s">
        <v>122</v>
      </c>
      <c r="E84" s="2" t="s">
        <v>53</v>
      </c>
      <c r="F84" s="2" t="s">
        <v>337</v>
      </c>
      <c r="G84" s="2" t="s">
        <v>621</v>
      </c>
      <c r="H84" s="4" t="s">
        <v>622</v>
      </c>
      <c r="I84" s="4" t="s">
        <v>611</v>
      </c>
      <c r="J84" s="4" t="s">
        <v>56</v>
      </c>
      <c r="K84" s="2" t="s">
        <v>623</v>
      </c>
      <c r="L84" s="2" t="s">
        <v>30</v>
      </c>
      <c r="M84" s="4" t="s">
        <v>58</v>
      </c>
      <c r="N84" s="5" t="s">
        <v>32</v>
      </c>
      <c r="O84" s="4" t="s">
        <v>624</v>
      </c>
      <c r="P84" s="4" t="s">
        <v>615</v>
      </c>
      <c r="Q84" s="2" t="s">
        <v>60</v>
      </c>
      <c r="R84" s="2" t="s">
        <v>36</v>
      </c>
      <c r="S84" s="7">
        <v>0.45</v>
      </c>
    </row>
    <row r="85" spans="1:19" s="2" customFormat="1" x14ac:dyDescent="0.25">
      <c r="A85" s="2" t="s">
        <v>625</v>
      </c>
      <c r="B85" s="2" t="s">
        <v>626</v>
      </c>
      <c r="C85" s="2" t="s">
        <v>536</v>
      </c>
      <c r="D85" s="2" t="s">
        <v>122</v>
      </c>
      <c r="E85" s="2" t="s">
        <v>374</v>
      </c>
      <c r="F85" s="2" t="s">
        <v>337</v>
      </c>
      <c r="G85" s="2" t="s">
        <v>627</v>
      </c>
      <c r="H85" s="4" t="s">
        <v>628</v>
      </c>
      <c r="I85" s="4" t="s">
        <v>629</v>
      </c>
      <c r="J85" s="4" t="s">
        <v>630</v>
      </c>
      <c r="K85" s="2" t="s">
        <v>29</v>
      </c>
      <c r="L85" s="2" t="s">
        <v>44</v>
      </c>
      <c r="M85" s="4" t="s">
        <v>631</v>
      </c>
      <c r="N85" s="5" t="s">
        <v>32</v>
      </c>
      <c r="O85" s="4" t="s">
        <v>632</v>
      </c>
      <c r="P85" s="4" t="s">
        <v>277</v>
      </c>
      <c r="Q85" s="6" t="s">
        <v>35</v>
      </c>
      <c r="R85" s="2" t="s">
        <v>36</v>
      </c>
      <c r="S85" s="7">
        <v>2.3</v>
      </c>
    </row>
    <row r="86" spans="1:19" s="2" customFormat="1" x14ac:dyDescent="0.25">
      <c r="A86" s="2" t="s">
        <v>633</v>
      </c>
      <c r="B86" s="2" t="s">
        <v>634</v>
      </c>
      <c r="C86" s="2" t="s">
        <v>270</v>
      </c>
      <c r="D86" s="3" t="s">
        <v>22</v>
      </c>
      <c r="E86" s="2" t="s">
        <v>23</v>
      </c>
      <c r="F86" s="2" t="s">
        <v>94</v>
      </c>
      <c r="G86" s="2" t="s">
        <v>635</v>
      </c>
      <c r="H86" s="4" t="s">
        <v>636</v>
      </c>
      <c r="I86" s="4" t="s">
        <v>637</v>
      </c>
      <c r="J86" s="4" t="s">
        <v>638</v>
      </c>
      <c r="K86" s="2" t="s">
        <v>29</v>
      </c>
      <c r="L86" s="2" t="s">
        <v>30</v>
      </c>
      <c r="M86" s="4" t="s">
        <v>639</v>
      </c>
      <c r="N86" s="2" t="s">
        <v>29</v>
      </c>
      <c r="O86" s="4" t="s">
        <v>29</v>
      </c>
      <c r="P86" s="4" t="s">
        <v>640</v>
      </c>
      <c r="Q86" s="8" t="s">
        <v>278</v>
      </c>
      <c r="R86" s="2" t="s">
        <v>36</v>
      </c>
      <c r="S86" s="2">
        <v>0</v>
      </c>
    </row>
    <row r="87" spans="1:19" s="2" customFormat="1" x14ac:dyDescent="0.25">
      <c r="A87" s="2" t="s">
        <v>641</v>
      </c>
      <c r="B87" s="2" t="s">
        <v>634</v>
      </c>
      <c r="C87" s="2" t="s">
        <v>270</v>
      </c>
      <c r="D87" s="3" t="s">
        <v>22</v>
      </c>
      <c r="E87" s="2" t="s">
        <v>23</v>
      </c>
      <c r="F87" s="2" t="s">
        <v>94</v>
      </c>
      <c r="G87" s="2" t="s">
        <v>642</v>
      </c>
      <c r="H87" s="4" t="s">
        <v>643</v>
      </c>
      <c r="I87" s="4" t="s">
        <v>637</v>
      </c>
      <c r="J87" s="4" t="s">
        <v>638</v>
      </c>
      <c r="K87" s="2" t="s">
        <v>633</v>
      </c>
      <c r="L87" s="2" t="s">
        <v>30</v>
      </c>
      <c r="M87" s="4" t="s">
        <v>639</v>
      </c>
      <c r="N87" s="2" t="s">
        <v>29</v>
      </c>
      <c r="O87" s="4" t="s">
        <v>29</v>
      </c>
      <c r="P87" s="4" t="s">
        <v>640</v>
      </c>
      <c r="Q87" s="8" t="s">
        <v>278</v>
      </c>
      <c r="R87" s="2" t="s">
        <v>36</v>
      </c>
      <c r="S87" s="2">
        <v>0</v>
      </c>
    </row>
    <row r="88" spans="1:19" s="2" customFormat="1" x14ac:dyDescent="0.25">
      <c r="A88" s="2" t="s">
        <v>644</v>
      </c>
      <c r="B88" s="2" t="s">
        <v>634</v>
      </c>
      <c r="C88" s="2" t="s">
        <v>270</v>
      </c>
      <c r="D88" s="3" t="s">
        <v>22</v>
      </c>
      <c r="E88" s="2" t="s">
        <v>53</v>
      </c>
      <c r="F88" s="2" t="s">
        <v>94</v>
      </c>
      <c r="G88" s="2" t="s">
        <v>645</v>
      </c>
      <c r="H88" s="4" t="s">
        <v>646</v>
      </c>
      <c r="I88" s="4" t="s">
        <v>637</v>
      </c>
      <c r="J88" s="4" t="s">
        <v>56</v>
      </c>
      <c r="K88" s="2" t="s">
        <v>647</v>
      </c>
      <c r="L88" s="2" t="s">
        <v>30</v>
      </c>
      <c r="M88" s="4" t="s">
        <v>58</v>
      </c>
      <c r="N88" s="2" t="s">
        <v>29</v>
      </c>
      <c r="O88" s="4" t="s">
        <v>29</v>
      </c>
      <c r="P88" s="4" t="s">
        <v>640</v>
      </c>
      <c r="Q88" s="2" t="s">
        <v>60</v>
      </c>
      <c r="R88" s="2" t="s">
        <v>36</v>
      </c>
      <c r="S88" s="2">
        <v>0</v>
      </c>
    </row>
    <row r="89" spans="1:19" s="2" customFormat="1" x14ac:dyDescent="0.25">
      <c r="A89" s="2" t="s">
        <v>648</v>
      </c>
      <c r="B89" s="2" t="s">
        <v>649</v>
      </c>
      <c r="C89" s="2" t="s">
        <v>270</v>
      </c>
      <c r="D89" s="2" t="s">
        <v>72</v>
      </c>
      <c r="E89" s="2" t="s">
        <v>23</v>
      </c>
      <c r="F89" s="2" t="s">
        <v>337</v>
      </c>
      <c r="G89" s="2" t="s">
        <v>650</v>
      </c>
      <c r="H89" s="4" t="s">
        <v>651</v>
      </c>
      <c r="I89" s="4" t="s">
        <v>652</v>
      </c>
      <c r="J89" s="4" t="s">
        <v>653</v>
      </c>
      <c r="K89" s="2" t="s">
        <v>29</v>
      </c>
      <c r="L89" s="2" t="s">
        <v>30</v>
      </c>
      <c r="M89" s="4" t="s">
        <v>654</v>
      </c>
      <c r="N89" s="2" t="s">
        <v>29</v>
      </c>
      <c r="O89" s="4" t="s">
        <v>29</v>
      </c>
      <c r="P89" s="4" t="s">
        <v>655</v>
      </c>
      <c r="Q89" s="8" t="s">
        <v>278</v>
      </c>
      <c r="R89" s="2" t="s">
        <v>36</v>
      </c>
      <c r="S89" s="2">
        <v>0</v>
      </c>
    </row>
    <row r="90" spans="1:19" s="2" customFormat="1" x14ac:dyDescent="0.25">
      <c r="A90" s="2" t="s">
        <v>656</v>
      </c>
      <c r="B90" s="2" t="s">
        <v>657</v>
      </c>
      <c r="C90" s="2" t="s">
        <v>270</v>
      </c>
      <c r="D90" s="2" t="s">
        <v>72</v>
      </c>
      <c r="E90" s="2" t="s">
        <v>23</v>
      </c>
      <c r="F90" s="2" t="s">
        <v>94</v>
      </c>
      <c r="G90" s="2" t="s">
        <v>658</v>
      </c>
      <c r="H90" s="4" t="s">
        <v>659</v>
      </c>
      <c r="I90" s="4" t="s">
        <v>660</v>
      </c>
      <c r="J90" s="4" t="s">
        <v>661</v>
      </c>
      <c r="K90" s="2" t="s">
        <v>29</v>
      </c>
      <c r="L90" s="2" t="s">
        <v>44</v>
      </c>
      <c r="M90" s="4" t="s">
        <v>662</v>
      </c>
      <c r="N90" s="2" t="s">
        <v>29</v>
      </c>
      <c r="O90" s="4" t="s">
        <v>29</v>
      </c>
      <c r="P90" s="4" t="s">
        <v>663</v>
      </c>
      <c r="Q90" s="2" t="s">
        <v>60</v>
      </c>
      <c r="R90" s="2" t="s">
        <v>36</v>
      </c>
      <c r="S90" s="2">
        <v>0</v>
      </c>
    </row>
    <row r="91" spans="1:19" s="2" customFormat="1" x14ac:dyDescent="0.25">
      <c r="A91" s="2" t="s">
        <v>664</v>
      </c>
      <c r="B91" s="2" t="s">
        <v>657</v>
      </c>
      <c r="C91" s="2" t="s">
        <v>270</v>
      </c>
      <c r="D91" s="2" t="s">
        <v>72</v>
      </c>
      <c r="E91" s="2" t="s">
        <v>23</v>
      </c>
      <c r="F91" s="2" t="s">
        <v>94</v>
      </c>
      <c r="G91" s="2" t="s">
        <v>665</v>
      </c>
      <c r="H91" s="4" t="s">
        <v>666</v>
      </c>
      <c r="I91" s="4" t="s">
        <v>660</v>
      </c>
      <c r="J91" s="4" t="s">
        <v>661</v>
      </c>
      <c r="K91" s="2" t="s">
        <v>656</v>
      </c>
      <c r="L91" s="2" t="s">
        <v>44</v>
      </c>
      <c r="M91" s="4" t="s">
        <v>662</v>
      </c>
      <c r="N91" s="2" t="s">
        <v>29</v>
      </c>
      <c r="O91" s="4" t="s">
        <v>29</v>
      </c>
      <c r="P91" s="4" t="s">
        <v>663</v>
      </c>
      <c r="Q91" s="2" t="s">
        <v>60</v>
      </c>
      <c r="R91" s="2" t="s">
        <v>36</v>
      </c>
      <c r="S91" s="2">
        <v>0</v>
      </c>
    </row>
    <row r="92" spans="1:19" s="2" customFormat="1" x14ac:dyDescent="0.25">
      <c r="A92" s="2" t="s">
        <v>667</v>
      </c>
      <c r="B92" s="2" t="s">
        <v>657</v>
      </c>
      <c r="C92" s="2" t="s">
        <v>270</v>
      </c>
      <c r="D92" s="2" t="s">
        <v>72</v>
      </c>
      <c r="E92" s="2" t="s">
        <v>53</v>
      </c>
      <c r="F92" s="2" t="s">
        <v>94</v>
      </c>
      <c r="G92" s="2" t="s">
        <v>668</v>
      </c>
      <c r="H92" s="4" t="s">
        <v>669</v>
      </c>
      <c r="I92" s="4" t="s">
        <v>660</v>
      </c>
      <c r="J92" s="4" t="s">
        <v>56</v>
      </c>
      <c r="K92" s="2" t="s">
        <v>670</v>
      </c>
      <c r="L92" s="2" t="s">
        <v>30</v>
      </c>
      <c r="M92" s="4" t="s">
        <v>58</v>
      </c>
      <c r="N92" s="2" t="s">
        <v>29</v>
      </c>
      <c r="O92" s="4" t="s">
        <v>29</v>
      </c>
      <c r="P92" s="4" t="s">
        <v>663</v>
      </c>
      <c r="Q92" s="2" t="s">
        <v>60</v>
      </c>
      <c r="R92" s="2" t="s">
        <v>36</v>
      </c>
      <c r="S92" s="2">
        <v>0</v>
      </c>
    </row>
    <row r="93" spans="1:19" s="2" customFormat="1" x14ac:dyDescent="0.25">
      <c r="A93" s="2" t="s">
        <v>671</v>
      </c>
      <c r="B93" s="2" t="s">
        <v>672</v>
      </c>
      <c r="C93" s="2" t="s">
        <v>270</v>
      </c>
      <c r="D93" s="2" t="s">
        <v>72</v>
      </c>
      <c r="E93" s="2" t="s">
        <v>23</v>
      </c>
      <c r="F93" s="2" t="s">
        <v>73</v>
      </c>
      <c r="G93" s="2" t="s">
        <v>673</v>
      </c>
      <c r="H93" s="4" t="s">
        <v>674</v>
      </c>
      <c r="I93" s="4" t="s">
        <v>675</v>
      </c>
      <c r="J93" s="4" t="s">
        <v>676</v>
      </c>
      <c r="K93" s="2" t="s">
        <v>29</v>
      </c>
      <c r="L93" s="2" t="s">
        <v>30</v>
      </c>
      <c r="M93" s="4" t="s">
        <v>677</v>
      </c>
      <c r="N93" s="2" t="s">
        <v>29</v>
      </c>
      <c r="O93" s="4" t="s">
        <v>29</v>
      </c>
      <c r="P93" s="4" t="s">
        <v>678</v>
      </c>
      <c r="Q93" s="8" t="s">
        <v>278</v>
      </c>
      <c r="R93" s="2" t="s">
        <v>36</v>
      </c>
      <c r="S93" s="2">
        <v>0</v>
      </c>
    </row>
    <row r="94" spans="1:19" s="2" customFormat="1" x14ac:dyDescent="0.25">
      <c r="A94" s="2" t="s">
        <v>679</v>
      </c>
      <c r="B94" s="2" t="s">
        <v>680</v>
      </c>
      <c r="C94" s="2" t="s">
        <v>270</v>
      </c>
      <c r="D94" s="2" t="s">
        <v>72</v>
      </c>
      <c r="E94" s="2" t="s">
        <v>23</v>
      </c>
      <c r="F94" s="2" t="s">
        <v>94</v>
      </c>
      <c r="G94" s="2" t="s">
        <v>681</v>
      </c>
      <c r="H94" s="4" t="s">
        <v>682</v>
      </c>
      <c r="I94" s="4" t="s">
        <v>683</v>
      </c>
      <c r="J94" s="4" t="s">
        <v>684</v>
      </c>
      <c r="K94" s="2" t="s">
        <v>29</v>
      </c>
      <c r="L94" s="2" t="s">
        <v>30</v>
      </c>
      <c r="M94" s="4" t="s">
        <v>685</v>
      </c>
      <c r="N94" s="2" t="s">
        <v>29</v>
      </c>
      <c r="O94" s="4" t="s">
        <v>29</v>
      </c>
      <c r="P94" s="4" t="s">
        <v>686</v>
      </c>
      <c r="Q94" s="2" t="s">
        <v>60</v>
      </c>
      <c r="R94" s="2" t="s">
        <v>36</v>
      </c>
      <c r="S94" s="2">
        <v>0</v>
      </c>
    </row>
    <row r="95" spans="1:19" s="2" customFormat="1" x14ac:dyDescent="0.25">
      <c r="A95" s="2" t="s">
        <v>687</v>
      </c>
      <c r="B95" s="2" t="s">
        <v>688</v>
      </c>
      <c r="C95" s="2" t="s">
        <v>270</v>
      </c>
      <c r="D95" s="2" t="s">
        <v>72</v>
      </c>
      <c r="E95" s="2" t="s">
        <v>39</v>
      </c>
      <c r="F95" s="2" t="s">
        <v>94</v>
      </c>
      <c r="G95" s="2" t="s">
        <v>689</v>
      </c>
      <c r="H95" s="4" t="s">
        <v>690</v>
      </c>
      <c r="I95" s="4" t="s">
        <v>691</v>
      </c>
      <c r="J95" s="4" t="s">
        <v>692</v>
      </c>
      <c r="K95" s="2" t="s">
        <v>29</v>
      </c>
      <c r="L95" s="2" t="s">
        <v>30</v>
      </c>
      <c r="M95" s="4" t="s">
        <v>693</v>
      </c>
      <c r="N95" s="2" t="s">
        <v>29</v>
      </c>
      <c r="O95" s="4" t="s">
        <v>29</v>
      </c>
      <c r="P95" s="4" t="s">
        <v>694</v>
      </c>
      <c r="Q95" s="2" t="s">
        <v>60</v>
      </c>
      <c r="R95" s="2" t="s">
        <v>36</v>
      </c>
      <c r="S95" s="2">
        <v>0</v>
      </c>
    </row>
    <row r="96" spans="1:19" s="2" customFormat="1" x14ac:dyDescent="0.25">
      <c r="A96" s="2" t="s">
        <v>695</v>
      </c>
      <c r="B96" s="2" t="s">
        <v>688</v>
      </c>
      <c r="C96" s="2" t="s">
        <v>270</v>
      </c>
      <c r="D96" s="2" t="s">
        <v>72</v>
      </c>
      <c r="E96" s="2" t="s">
        <v>39</v>
      </c>
      <c r="F96" s="2" t="s">
        <v>94</v>
      </c>
      <c r="G96" s="2" t="s">
        <v>696</v>
      </c>
      <c r="H96" s="4" t="s">
        <v>697</v>
      </c>
      <c r="I96" s="4" t="s">
        <v>691</v>
      </c>
      <c r="J96" s="4" t="s">
        <v>692</v>
      </c>
      <c r="K96" s="2" t="s">
        <v>687</v>
      </c>
      <c r="L96" s="2" t="s">
        <v>30</v>
      </c>
      <c r="M96" s="4" t="s">
        <v>693</v>
      </c>
      <c r="N96" s="2" t="s">
        <v>29</v>
      </c>
      <c r="O96" s="4" t="s">
        <v>29</v>
      </c>
      <c r="P96" s="4" t="s">
        <v>694</v>
      </c>
      <c r="Q96" s="2" t="s">
        <v>60</v>
      </c>
      <c r="R96" s="2" t="s">
        <v>36</v>
      </c>
      <c r="S96" s="2">
        <v>0</v>
      </c>
    </row>
    <row r="97" spans="1:19" s="2" customFormat="1" x14ac:dyDescent="0.25">
      <c r="A97" s="2" t="s">
        <v>698</v>
      </c>
      <c r="B97" s="2" t="s">
        <v>688</v>
      </c>
      <c r="C97" s="2" t="s">
        <v>270</v>
      </c>
      <c r="D97" s="2" t="s">
        <v>72</v>
      </c>
      <c r="E97" s="2" t="s">
        <v>53</v>
      </c>
      <c r="F97" s="2" t="s">
        <v>94</v>
      </c>
      <c r="G97" s="2" t="s">
        <v>699</v>
      </c>
      <c r="H97" s="4" t="s">
        <v>700</v>
      </c>
      <c r="I97" s="4" t="s">
        <v>691</v>
      </c>
      <c r="J97" s="4" t="s">
        <v>56</v>
      </c>
      <c r="K97" s="2" t="s">
        <v>701</v>
      </c>
      <c r="L97" s="2" t="s">
        <v>30</v>
      </c>
      <c r="M97" s="4" t="s">
        <v>58</v>
      </c>
      <c r="N97" s="2" t="s">
        <v>29</v>
      </c>
      <c r="O97" s="4" t="s">
        <v>29</v>
      </c>
      <c r="P97" s="4" t="s">
        <v>694</v>
      </c>
      <c r="Q97" s="2" t="s">
        <v>60</v>
      </c>
      <c r="R97" s="2" t="s">
        <v>36</v>
      </c>
      <c r="S97" s="2">
        <v>0</v>
      </c>
    </row>
    <row r="98" spans="1:19" s="2" customFormat="1" x14ac:dyDescent="0.25">
      <c r="A98" s="2" t="s">
        <v>702</v>
      </c>
      <c r="B98" s="2" t="s">
        <v>703</v>
      </c>
      <c r="C98" s="2" t="s">
        <v>270</v>
      </c>
      <c r="D98" s="2" t="s">
        <v>72</v>
      </c>
      <c r="E98" s="2" t="s">
        <v>23</v>
      </c>
      <c r="F98" s="2" t="s">
        <v>83</v>
      </c>
      <c r="G98" s="2" t="s">
        <v>704</v>
      </c>
      <c r="H98" s="4" t="s">
        <v>705</v>
      </c>
      <c r="I98" s="4" t="s">
        <v>706</v>
      </c>
      <c r="J98" s="4" t="s">
        <v>707</v>
      </c>
      <c r="K98" s="2" t="s">
        <v>29</v>
      </c>
      <c r="L98" s="2" t="s">
        <v>44</v>
      </c>
      <c r="M98" s="4" t="s">
        <v>708</v>
      </c>
      <c r="N98" s="2" t="s">
        <v>29</v>
      </c>
      <c r="O98" s="4" t="s">
        <v>29</v>
      </c>
      <c r="P98" s="4" t="s">
        <v>709</v>
      </c>
      <c r="Q98" s="6" t="s">
        <v>35</v>
      </c>
      <c r="R98" s="9" t="s">
        <v>710</v>
      </c>
      <c r="S98" s="2">
        <v>0</v>
      </c>
    </row>
    <row r="99" spans="1:19" s="2" customFormat="1" x14ac:dyDescent="0.25">
      <c r="A99" s="2" t="s">
        <v>711</v>
      </c>
      <c r="B99" s="2" t="s">
        <v>712</v>
      </c>
      <c r="C99" s="2" t="s">
        <v>270</v>
      </c>
      <c r="D99" s="2" t="s">
        <v>72</v>
      </c>
      <c r="E99" s="2" t="s">
        <v>23</v>
      </c>
      <c r="F99" s="2" t="s">
        <v>94</v>
      </c>
      <c r="G99" s="2" t="s">
        <v>713</v>
      </c>
      <c r="H99" s="4" t="s">
        <v>714</v>
      </c>
      <c r="I99" s="4" t="s">
        <v>715</v>
      </c>
      <c r="J99" s="4" t="s">
        <v>716</v>
      </c>
      <c r="K99" s="2" t="s">
        <v>29</v>
      </c>
      <c r="L99" s="2" t="s">
        <v>30</v>
      </c>
      <c r="M99" s="4" t="s">
        <v>717</v>
      </c>
      <c r="N99" s="2" t="s">
        <v>29</v>
      </c>
      <c r="O99" s="4" t="s">
        <v>29</v>
      </c>
      <c r="P99" s="4" t="s">
        <v>718</v>
      </c>
      <c r="Q99" s="8" t="s">
        <v>278</v>
      </c>
      <c r="R99" s="2" t="s">
        <v>36</v>
      </c>
      <c r="S99" s="2">
        <v>0</v>
      </c>
    </row>
    <row r="100" spans="1:19" s="2" customFormat="1" x14ac:dyDescent="0.25">
      <c r="A100" s="2" t="s">
        <v>719</v>
      </c>
      <c r="B100" s="2" t="s">
        <v>720</v>
      </c>
      <c r="C100" s="2" t="s">
        <v>270</v>
      </c>
      <c r="D100" s="2" t="s">
        <v>122</v>
      </c>
      <c r="E100" s="2" t="s">
        <v>23</v>
      </c>
      <c r="F100" s="2" t="s">
        <v>94</v>
      </c>
      <c r="G100" s="2" t="s">
        <v>721</v>
      </c>
      <c r="H100" s="4" t="s">
        <v>722</v>
      </c>
      <c r="I100" s="4" t="s">
        <v>723</v>
      </c>
      <c r="J100" s="4" t="s">
        <v>724</v>
      </c>
      <c r="K100" s="2" t="s">
        <v>29</v>
      </c>
      <c r="L100" s="2" t="s">
        <v>30</v>
      </c>
      <c r="M100" s="4" t="s">
        <v>725</v>
      </c>
      <c r="N100" s="2" t="s">
        <v>29</v>
      </c>
      <c r="O100" s="4" t="s">
        <v>29</v>
      </c>
      <c r="P100" s="4" t="s">
        <v>726</v>
      </c>
      <c r="Q100" s="2" t="s">
        <v>60</v>
      </c>
      <c r="R100" s="2" t="s">
        <v>36</v>
      </c>
      <c r="S100" s="2">
        <v>0</v>
      </c>
    </row>
    <row r="101" spans="1:19" s="2" customFormat="1" x14ac:dyDescent="0.25">
      <c r="A101" s="2" t="s">
        <v>727</v>
      </c>
      <c r="B101" s="2" t="s">
        <v>720</v>
      </c>
      <c r="C101" s="2" t="s">
        <v>270</v>
      </c>
      <c r="D101" s="2" t="s">
        <v>122</v>
      </c>
      <c r="E101" s="2" t="s">
        <v>23</v>
      </c>
      <c r="F101" s="2" t="s">
        <v>94</v>
      </c>
      <c r="G101" s="2" t="s">
        <v>728</v>
      </c>
      <c r="H101" s="4" t="s">
        <v>729</v>
      </c>
      <c r="I101" s="4" t="s">
        <v>723</v>
      </c>
      <c r="J101" s="4" t="s">
        <v>724</v>
      </c>
      <c r="K101" s="2" t="s">
        <v>719</v>
      </c>
      <c r="L101" s="2" t="s">
        <v>30</v>
      </c>
      <c r="M101" s="4" t="s">
        <v>725</v>
      </c>
      <c r="N101" s="2" t="s">
        <v>29</v>
      </c>
      <c r="O101" s="4" t="s">
        <v>29</v>
      </c>
      <c r="P101" s="4" t="s">
        <v>726</v>
      </c>
      <c r="Q101" s="2" t="s">
        <v>60</v>
      </c>
      <c r="R101" s="2" t="s">
        <v>36</v>
      </c>
      <c r="S101" s="2">
        <v>0</v>
      </c>
    </row>
    <row r="102" spans="1:19" s="2" customFormat="1" x14ac:dyDescent="0.25">
      <c r="A102" s="2" t="s">
        <v>730</v>
      </c>
      <c r="B102" s="2" t="s">
        <v>720</v>
      </c>
      <c r="C102" s="2" t="s">
        <v>270</v>
      </c>
      <c r="D102" s="2" t="s">
        <v>122</v>
      </c>
      <c r="E102" s="2" t="s">
        <v>53</v>
      </c>
      <c r="F102" s="2" t="s">
        <v>94</v>
      </c>
      <c r="G102" s="2" t="s">
        <v>731</v>
      </c>
      <c r="H102" s="4" t="s">
        <v>732</v>
      </c>
      <c r="I102" s="4" t="s">
        <v>723</v>
      </c>
      <c r="J102" s="4" t="s">
        <v>56</v>
      </c>
      <c r="K102" s="2" t="s">
        <v>733</v>
      </c>
      <c r="L102" s="2" t="s">
        <v>30</v>
      </c>
      <c r="M102" s="4" t="s">
        <v>58</v>
      </c>
      <c r="N102" s="2" t="s">
        <v>29</v>
      </c>
      <c r="O102" s="4" t="s">
        <v>29</v>
      </c>
      <c r="P102" s="4" t="s">
        <v>726</v>
      </c>
      <c r="Q102" s="2" t="s">
        <v>60</v>
      </c>
      <c r="R102" s="2" t="s">
        <v>36</v>
      </c>
      <c r="S102" s="2">
        <v>0</v>
      </c>
    </row>
    <row r="103" spans="1:19" s="2" customFormat="1" x14ac:dyDescent="0.25">
      <c r="A103" s="2" t="s">
        <v>734</v>
      </c>
      <c r="B103" s="2" t="s">
        <v>735</v>
      </c>
      <c r="C103" s="2" t="s">
        <v>270</v>
      </c>
      <c r="D103" s="2" t="s">
        <v>122</v>
      </c>
      <c r="E103" s="2" t="s">
        <v>23</v>
      </c>
      <c r="F103" s="2" t="s">
        <v>94</v>
      </c>
      <c r="G103" s="2" t="s">
        <v>736</v>
      </c>
      <c r="H103" s="4" t="s">
        <v>737</v>
      </c>
      <c r="I103" s="4" t="s">
        <v>738</v>
      </c>
      <c r="J103" s="4" t="s">
        <v>739</v>
      </c>
      <c r="K103" s="2" t="s">
        <v>29</v>
      </c>
      <c r="L103" s="2" t="s">
        <v>44</v>
      </c>
      <c r="M103" s="4" t="s">
        <v>740</v>
      </c>
      <c r="N103" s="2" t="s">
        <v>29</v>
      </c>
      <c r="O103" s="4" t="s">
        <v>29</v>
      </c>
      <c r="P103" s="4" t="s">
        <v>741</v>
      </c>
      <c r="Q103" s="2" t="s">
        <v>60</v>
      </c>
      <c r="R103" s="2" t="s">
        <v>36</v>
      </c>
      <c r="S103" s="2">
        <v>0</v>
      </c>
    </row>
    <row r="104" spans="1:19" s="2" customFormat="1" x14ac:dyDescent="0.25">
      <c r="A104" s="2" t="s">
        <v>742</v>
      </c>
      <c r="B104" s="2" t="s">
        <v>735</v>
      </c>
      <c r="C104" s="2" t="s">
        <v>270</v>
      </c>
      <c r="D104" s="2" t="s">
        <v>122</v>
      </c>
      <c r="E104" s="2" t="s">
        <v>23</v>
      </c>
      <c r="F104" s="2" t="s">
        <v>94</v>
      </c>
      <c r="G104" s="2" t="s">
        <v>743</v>
      </c>
      <c r="H104" s="4" t="s">
        <v>744</v>
      </c>
      <c r="I104" s="4" t="s">
        <v>738</v>
      </c>
      <c r="J104" s="4" t="s">
        <v>739</v>
      </c>
      <c r="K104" s="2" t="s">
        <v>734</v>
      </c>
      <c r="L104" s="2" t="s">
        <v>44</v>
      </c>
      <c r="M104" s="4" t="s">
        <v>740</v>
      </c>
      <c r="N104" s="2" t="s">
        <v>29</v>
      </c>
      <c r="O104" s="4" t="s">
        <v>29</v>
      </c>
      <c r="P104" s="4" t="s">
        <v>741</v>
      </c>
      <c r="Q104" s="2" t="s">
        <v>60</v>
      </c>
      <c r="R104" s="2" t="s">
        <v>36</v>
      </c>
      <c r="S104" s="2">
        <v>0</v>
      </c>
    </row>
    <row r="105" spans="1:19" s="2" customFormat="1" x14ac:dyDescent="0.25">
      <c r="A105" s="2" t="s">
        <v>745</v>
      </c>
      <c r="B105" s="2" t="s">
        <v>735</v>
      </c>
      <c r="C105" s="2" t="s">
        <v>270</v>
      </c>
      <c r="D105" s="2" t="s">
        <v>122</v>
      </c>
      <c r="E105" s="2" t="s">
        <v>53</v>
      </c>
      <c r="F105" s="2" t="s">
        <v>94</v>
      </c>
      <c r="G105" s="2" t="s">
        <v>746</v>
      </c>
      <c r="H105" s="4" t="s">
        <v>747</v>
      </c>
      <c r="I105" s="4" t="s">
        <v>738</v>
      </c>
      <c r="J105" s="4" t="s">
        <v>56</v>
      </c>
      <c r="K105" s="2" t="s">
        <v>748</v>
      </c>
      <c r="L105" s="2" t="s">
        <v>30</v>
      </c>
      <c r="M105" s="4" t="s">
        <v>58</v>
      </c>
      <c r="N105" s="2" t="s">
        <v>29</v>
      </c>
      <c r="O105" s="4" t="s">
        <v>29</v>
      </c>
      <c r="P105" s="4" t="s">
        <v>741</v>
      </c>
      <c r="Q105" s="2" t="s">
        <v>60</v>
      </c>
      <c r="R105" s="2" t="s">
        <v>36</v>
      </c>
      <c r="S105" s="2">
        <v>0</v>
      </c>
    </row>
    <row r="106" spans="1:19" s="2" customFormat="1" x14ac:dyDescent="0.25">
      <c r="A106" s="2" t="s">
        <v>749</v>
      </c>
      <c r="B106" s="2" t="s">
        <v>750</v>
      </c>
      <c r="C106" s="2" t="s">
        <v>270</v>
      </c>
      <c r="D106" s="2" t="s">
        <v>122</v>
      </c>
      <c r="E106" s="2" t="s">
        <v>23</v>
      </c>
      <c r="F106" s="2" t="s">
        <v>94</v>
      </c>
      <c r="G106" s="2" t="s">
        <v>751</v>
      </c>
      <c r="H106" s="4" t="s">
        <v>752</v>
      </c>
      <c r="I106" s="4" t="s">
        <v>753</v>
      </c>
      <c r="J106" s="4" t="s">
        <v>754</v>
      </c>
      <c r="K106" s="2" t="s">
        <v>29</v>
      </c>
      <c r="L106" s="2" t="s">
        <v>30</v>
      </c>
      <c r="M106" s="4" t="s">
        <v>755</v>
      </c>
      <c r="N106" s="2" t="s">
        <v>29</v>
      </c>
      <c r="O106" s="4" t="s">
        <v>29</v>
      </c>
      <c r="P106" s="4" t="s">
        <v>756</v>
      </c>
      <c r="Q106" s="2" t="s">
        <v>60</v>
      </c>
      <c r="R106" s="2" t="s">
        <v>36</v>
      </c>
      <c r="S106" s="2">
        <v>0</v>
      </c>
    </row>
    <row r="107" spans="1:19" s="2" customFormat="1" x14ac:dyDescent="0.25">
      <c r="A107" s="2" t="s">
        <v>757</v>
      </c>
      <c r="B107" s="2" t="s">
        <v>758</v>
      </c>
      <c r="C107" s="2" t="s">
        <v>270</v>
      </c>
      <c r="D107" s="2" t="s">
        <v>122</v>
      </c>
      <c r="E107" s="2" t="s">
        <v>23</v>
      </c>
      <c r="F107" s="2" t="s">
        <v>94</v>
      </c>
      <c r="G107" s="2" t="s">
        <v>759</v>
      </c>
      <c r="H107" s="4" t="s">
        <v>760</v>
      </c>
      <c r="I107" s="4" t="s">
        <v>761</v>
      </c>
      <c r="J107" s="4" t="s">
        <v>762</v>
      </c>
      <c r="K107" s="2" t="s">
        <v>29</v>
      </c>
      <c r="L107" s="2" t="s">
        <v>30</v>
      </c>
      <c r="M107" s="4" t="s">
        <v>763</v>
      </c>
      <c r="N107" s="2" t="s">
        <v>29</v>
      </c>
      <c r="O107" s="4" t="s">
        <v>29</v>
      </c>
      <c r="P107" s="4" t="s">
        <v>764</v>
      </c>
      <c r="Q107" s="2" t="s">
        <v>60</v>
      </c>
      <c r="R107" s="2" t="s">
        <v>36</v>
      </c>
      <c r="S107" s="2">
        <v>0</v>
      </c>
    </row>
    <row r="108" spans="1:19" s="2" customFormat="1" x14ac:dyDescent="0.25">
      <c r="A108" s="2" t="s">
        <v>765</v>
      </c>
      <c r="B108" s="2" t="s">
        <v>766</v>
      </c>
      <c r="C108" s="2" t="s">
        <v>270</v>
      </c>
      <c r="D108" s="2" t="s">
        <v>122</v>
      </c>
      <c r="E108" s="2" t="s">
        <v>23</v>
      </c>
      <c r="F108" s="2" t="s">
        <v>94</v>
      </c>
      <c r="G108" s="2" t="s">
        <v>767</v>
      </c>
      <c r="H108" s="4" t="s">
        <v>768</v>
      </c>
      <c r="I108" s="4" t="s">
        <v>769</v>
      </c>
      <c r="J108" s="4" t="s">
        <v>770</v>
      </c>
      <c r="K108" s="2" t="s">
        <v>29</v>
      </c>
      <c r="L108" s="2" t="s">
        <v>30</v>
      </c>
      <c r="M108" s="4" t="s">
        <v>771</v>
      </c>
      <c r="N108" s="2" t="s">
        <v>29</v>
      </c>
      <c r="O108" s="4" t="s">
        <v>29</v>
      </c>
      <c r="P108" s="4" t="s">
        <v>772</v>
      </c>
      <c r="Q108" s="2" t="s">
        <v>60</v>
      </c>
      <c r="R108" s="2" t="s">
        <v>36</v>
      </c>
      <c r="S108" s="2">
        <v>0</v>
      </c>
    </row>
    <row r="109" spans="1:19" s="2" customFormat="1" x14ac:dyDescent="0.25">
      <c r="A109" s="2" t="s">
        <v>773</v>
      </c>
      <c r="B109" s="2" t="s">
        <v>774</v>
      </c>
      <c r="C109" s="2" t="s">
        <v>270</v>
      </c>
      <c r="D109" s="2" t="s">
        <v>122</v>
      </c>
      <c r="E109" s="2" t="s">
        <v>23</v>
      </c>
      <c r="F109" s="2" t="s">
        <v>94</v>
      </c>
      <c r="G109" s="2" t="s">
        <v>775</v>
      </c>
      <c r="H109" s="4" t="s">
        <v>776</v>
      </c>
      <c r="I109" s="4" t="s">
        <v>777</v>
      </c>
      <c r="J109" s="4" t="s">
        <v>778</v>
      </c>
      <c r="K109" s="2" t="s">
        <v>29</v>
      </c>
      <c r="L109" s="2" t="s">
        <v>30</v>
      </c>
      <c r="M109" s="4" t="s">
        <v>779</v>
      </c>
      <c r="N109" s="2" t="s">
        <v>29</v>
      </c>
      <c r="O109" s="4" t="s">
        <v>29</v>
      </c>
      <c r="P109" s="4" t="s">
        <v>780</v>
      </c>
      <c r="Q109" s="2" t="s">
        <v>60</v>
      </c>
      <c r="R109" s="2" t="s">
        <v>36</v>
      </c>
      <c r="S109" s="2">
        <v>0</v>
      </c>
    </row>
    <row r="110" spans="1:19" s="2" customFormat="1" x14ac:dyDescent="0.25">
      <c r="A110" s="2" t="s">
        <v>781</v>
      </c>
      <c r="B110" s="2" t="s">
        <v>782</v>
      </c>
      <c r="C110" s="2" t="s">
        <v>270</v>
      </c>
      <c r="D110" s="2" t="s">
        <v>122</v>
      </c>
      <c r="E110" s="2" t="s">
        <v>23</v>
      </c>
      <c r="F110" s="2" t="s">
        <v>94</v>
      </c>
      <c r="G110" s="2" t="s">
        <v>783</v>
      </c>
      <c r="H110" s="4" t="s">
        <v>784</v>
      </c>
      <c r="I110" s="4" t="s">
        <v>785</v>
      </c>
      <c r="J110" s="4" t="s">
        <v>786</v>
      </c>
      <c r="K110" s="2" t="s">
        <v>29</v>
      </c>
      <c r="L110" s="2" t="s">
        <v>30</v>
      </c>
      <c r="M110" s="4" t="s">
        <v>787</v>
      </c>
      <c r="N110" s="2" t="s">
        <v>29</v>
      </c>
      <c r="O110" s="4" t="s">
        <v>29</v>
      </c>
      <c r="P110" s="4" t="s">
        <v>788</v>
      </c>
      <c r="Q110" s="2" t="s">
        <v>60</v>
      </c>
      <c r="R110" s="2" t="s">
        <v>36</v>
      </c>
      <c r="S110" s="2">
        <v>0</v>
      </c>
    </row>
    <row r="111" spans="1:19" s="2" customFormat="1" x14ac:dyDescent="0.25">
      <c r="A111" s="2" t="s">
        <v>789</v>
      </c>
      <c r="B111" s="2" t="s">
        <v>790</v>
      </c>
      <c r="C111" s="2" t="s">
        <v>270</v>
      </c>
      <c r="D111" s="2" t="s">
        <v>122</v>
      </c>
      <c r="E111" s="2" t="s">
        <v>93</v>
      </c>
      <c r="F111" s="2" t="s">
        <v>73</v>
      </c>
      <c r="G111" s="2" t="s">
        <v>791</v>
      </c>
      <c r="H111" s="4" t="s">
        <v>792</v>
      </c>
      <c r="I111" s="4" t="s">
        <v>793</v>
      </c>
      <c r="J111" s="4" t="s">
        <v>794</v>
      </c>
      <c r="K111" s="2" t="s">
        <v>29</v>
      </c>
      <c r="L111" s="2" t="s">
        <v>30</v>
      </c>
      <c r="M111" s="4" t="s">
        <v>795</v>
      </c>
      <c r="N111" s="2" t="s">
        <v>29</v>
      </c>
      <c r="O111" s="4" t="s">
        <v>29</v>
      </c>
      <c r="P111" s="4" t="s">
        <v>796</v>
      </c>
      <c r="Q111" s="8" t="s">
        <v>278</v>
      </c>
      <c r="R111" s="2" t="s">
        <v>36</v>
      </c>
      <c r="S111" s="2">
        <v>0</v>
      </c>
    </row>
    <row r="112" spans="1:19" s="2" customFormat="1" x14ac:dyDescent="0.25">
      <c r="A112" s="2" t="s">
        <v>797</v>
      </c>
      <c r="B112" s="2" t="s">
        <v>798</v>
      </c>
      <c r="C112" s="2" t="s">
        <v>270</v>
      </c>
      <c r="D112" s="2" t="s">
        <v>122</v>
      </c>
      <c r="E112" s="2" t="s">
        <v>93</v>
      </c>
      <c r="F112" s="2" t="s">
        <v>94</v>
      </c>
      <c r="G112" s="2" t="s">
        <v>799</v>
      </c>
      <c r="H112" s="4" t="s">
        <v>800</v>
      </c>
      <c r="I112" s="4" t="s">
        <v>801</v>
      </c>
      <c r="J112" s="4" t="s">
        <v>802</v>
      </c>
      <c r="K112" s="2" t="s">
        <v>29</v>
      </c>
      <c r="L112" s="2" t="s">
        <v>30</v>
      </c>
      <c r="M112" s="4" t="s">
        <v>803</v>
      </c>
      <c r="N112" s="2" t="s">
        <v>29</v>
      </c>
      <c r="O112" s="4" t="s">
        <v>29</v>
      </c>
      <c r="P112" s="4" t="s">
        <v>804</v>
      </c>
      <c r="Q112" s="2" t="s">
        <v>60</v>
      </c>
      <c r="R112" s="2" t="s">
        <v>36</v>
      </c>
      <c r="S112" s="2">
        <v>0</v>
      </c>
    </row>
    <row r="113" spans="1:19" s="2" customFormat="1" x14ac:dyDescent="0.25">
      <c r="A113" s="2" t="s">
        <v>805</v>
      </c>
      <c r="B113" s="2" t="s">
        <v>806</v>
      </c>
      <c r="C113" s="2" t="s">
        <v>270</v>
      </c>
      <c r="D113" s="2" t="s">
        <v>122</v>
      </c>
      <c r="E113" s="2" t="s">
        <v>93</v>
      </c>
      <c r="F113" s="2" t="s">
        <v>159</v>
      </c>
      <c r="G113" s="2" t="s">
        <v>807</v>
      </c>
      <c r="H113" s="4" t="s">
        <v>808</v>
      </c>
      <c r="I113" s="4" t="s">
        <v>809</v>
      </c>
      <c r="J113" s="4" t="s">
        <v>810</v>
      </c>
      <c r="K113" s="2" t="s">
        <v>29</v>
      </c>
      <c r="L113" s="2" t="s">
        <v>30</v>
      </c>
      <c r="M113" s="4" t="s">
        <v>811</v>
      </c>
      <c r="N113" s="2" t="s">
        <v>29</v>
      </c>
      <c r="O113" s="4" t="s">
        <v>29</v>
      </c>
      <c r="P113" s="4" t="s">
        <v>812</v>
      </c>
      <c r="Q113" s="8" t="s">
        <v>278</v>
      </c>
      <c r="R113" s="2" t="s">
        <v>36</v>
      </c>
      <c r="S113" s="2">
        <v>0</v>
      </c>
    </row>
    <row r="114" spans="1:19" s="2" customFormat="1" x14ac:dyDescent="0.25">
      <c r="A114" s="2" t="s">
        <v>813</v>
      </c>
      <c r="B114" s="2" t="s">
        <v>814</v>
      </c>
      <c r="C114" s="2" t="s">
        <v>270</v>
      </c>
      <c r="D114" s="2" t="s">
        <v>122</v>
      </c>
      <c r="E114" s="2" t="s">
        <v>318</v>
      </c>
      <c r="F114" s="2" t="s">
        <v>94</v>
      </c>
      <c r="G114" s="2" t="s">
        <v>815</v>
      </c>
      <c r="H114" s="4" t="s">
        <v>816</v>
      </c>
      <c r="I114" s="4" t="s">
        <v>817</v>
      </c>
      <c r="J114" s="4" t="s">
        <v>818</v>
      </c>
      <c r="K114" s="2" t="s">
        <v>29</v>
      </c>
      <c r="L114" s="2" t="s">
        <v>30</v>
      </c>
      <c r="M114" s="4" t="s">
        <v>819</v>
      </c>
      <c r="N114" s="2" t="s">
        <v>29</v>
      </c>
      <c r="O114" s="4" t="s">
        <v>29</v>
      </c>
      <c r="P114" s="4" t="s">
        <v>820</v>
      </c>
      <c r="Q114" s="2" t="s">
        <v>60</v>
      </c>
      <c r="R114" s="2" t="s">
        <v>36</v>
      </c>
      <c r="S114" s="2">
        <v>0</v>
      </c>
    </row>
    <row r="115" spans="1:19" s="2" customFormat="1" x14ac:dyDescent="0.25">
      <c r="A115" s="2" t="s">
        <v>821</v>
      </c>
      <c r="B115" s="2" t="s">
        <v>822</v>
      </c>
      <c r="C115" s="2" t="s">
        <v>270</v>
      </c>
      <c r="D115" s="2" t="s">
        <v>122</v>
      </c>
      <c r="E115" s="2" t="s">
        <v>224</v>
      </c>
      <c r="F115" s="2" t="s">
        <v>94</v>
      </c>
      <c r="G115" s="2" t="s">
        <v>823</v>
      </c>
      <c r="H115" s="4" t="s">
        <v>824</v>
      </c>
      <c r="I115" s="4" t="s">
        <v>825</v>
      </c>
      <c r="J115" s="4" t="s">
        <v>826</v>
      </c>
      <c r="K115" s="2" t="s">
        <v>29</v>
      </c>
      <c r="L115" s="2" t="s">
        <v>30</v>
      </c>
      <c r="M115" s="4" t="s">
        <v>827</v>
      </c>
      <c r="N115" s="2" t="s">
        <v>29</v>
      </c>
      <c r="O115" s="4" t="s">
        <v>29</v>
      </c>
      <c r="P115" s="4" t="s">
        <v>828</v>
      </c>
      <c r="Q115" s="2" t="s">
        <v>60</v>
      </c>
      <c r="R115" s="2" t="s">
        <v>36</v>
      </c>
      <c r="S115" s="2">
        <v>0</v>
      </c>
    </row>
    <row r="116" spans="1:19" s="2" customFormat="1" x14ac:dyDescent="0.25">
      <c r="A116" s="2" t="s">
        <v>829</v>
      </c>
      <c r="B116" s="2" t="s">
        <v>830</v>
      </c>
      <c r="C116" s="2" t="s">
        <v>270</v>
      </c>
      <c r="D116" s="2" t="s">
        <v>122</v>
      </c>
      <c r="E116" s="2" t="s">
        <v>224</v>
      </c>
      <c r="F116" s="2" t="s">
        <v>94</v>
      </c>
      <c r="G116" s="2" t="s">
        <v>831</v>
      </c>
      <c r="H116" s="4" t="s">
        <v>832</v>
      </c>
      <c r="I116" s="4" t="s">
        <v>833</v>
      </c>
      <c r="J116" s="4" t="s">
        <v>834</v>
      </c>
      <c r="K116" s="2" t="s">
        <v>29</v>
      </c>
      <c r="L116" s="2" t="s">
        <v>44</v>
      </c>
      <c r="M116" s="4" t="s">
        <v>835</v>
      </c>
      <c r="N116" s="2" t="s">
        <v>29</v>
      </c>
      <c r="O116" s="4" t="s">
        <v>29</v>
      </c>
      <c r="P116" s="4" t="s">
        <v>836</v>
      </c>
      <c r="Q116" s="2" t="s">
        <v>60</v>
      </c>
      <c r="R116" s="2" t="s">
        <v>36</v>
      </c>
      <c r="S116" s="2">
        <v>0</v>
      </c>
    </row>
    <row r="117" spans="1:19" s="2" customFormat="1" x14ac:dyDescent="0.25">
      <c r="A117" s="2" t="s">
        <v>837</v>
      </c>
      <c r="B117" s="2" t="s">
        <v>830</v>
      </c>
      <c r="C117" s="2" t="s">
        <v>270</v>
      </c>
      <c r="D117" s="2" t="s">
        <v>122</v>
      </c>
      <c r="E117" s="2" t="s">
        <v>224</v>
      </c>
      <c r="F117" s="2" t="s">
        <v>94</v>
      </c>
      <c r="G117" s="2" t="s">
        <v>838</v>
      </c>
      <c r="H117" s="4" t="s">
        <v>839</v>
      </c>
      <c r="I117" s="4" t="s">
        <v>833</v>
      </c>
      <c r="J117" s="4" t="s">
        <v>834</v>
      </c>
      <c r="K117" s="2" t="s">
        <v>829</v>
      </c>
      <c r="L117" s="2" t="s">
        <v>44</v>
      </c>
      <c r="M117" s="4" t="s">
        <v>835</v>
      </c>
      <c r="N117" s="2" t="s">
        <v>29</v>
      </c>
      <c r="O117" s="4" t="s">
        <v>29</v>
      </c>
      <c r="P117" s="4" t="s">
        <v>836</v>
      </c>
      <c r="Q117" s="2" t="s">
        <v>60</v>
      </c>
      <c r="R117" s="2" t="s">
        <v>36</v>
      </c>
      <c r="S117" s="2">
        <v>0</v>
      </c>
    </row>
    <row r="118" spans="1:19" s="2" customFormat="1" x14ac:dyDescent="0.25">
      <c r="A118" s="2" t="s">
        <v>840</v>
      </c>
      <c r="B118" s="2" t="s">
        <v>830</v>
      </c>
      <c r="C118" s="2" t="s">
        <v>270</v>
      </c>
      <c r="D118" s="2" t="s">
        <v>122</v>
      </c>
      <c r="E118" s="2" t="s">
        <v>53</v>
      </c>
      <c r="F118" s="2" t="s">
        <v>94</v>
      </c>
      <c r="G118" s="2" t="s">
        <v>841</v>
      </c>
      <c r="H118" s="4" t="s">
        <v>842</v>
      </c>
      <c r="I118" s="4" t="s">
        <v>833</v>
      </c>
      <c r="J118" s="4" t="s">
        <v>56</v>
      </c>
      <c r="K118" s="2" t="s">
        <v>843</v>
      </c>
      <c r="L118" s="2" t="s">
        <v>30</v>
      </c>
      <c r="M118" s="4" t="s">
        <v>58</v>
      </c>
      <c r="N118" s="2" t="s">
        <v>29</v>
      </c>
      <c r="O118" s="4" t="s">
        <v>29</v>
      </c>
      <c r="P118" s="4" t="s">
        <v>836</v>
      </c>
      <c r="Q118" s="2" t="s">
        <v>60</v>
      </c>
      <c r="R118" s="2" t="s">
        <v>36</v>
      </c>
      <c r="S118" s="2">
        <v>0</v>
      </c>
    </row>
    <row r="119" spans="1:19" s="2" customFormat="1" x14ac:dyDescent="0.25">
      <c r="A119" s="2" t="s">
        <v>844</v>
      </c>
      <c r="B119" s="2" t="s">
        <v>845</v>
      </c>
      <c r="C119" s="2" t="s">
        <v>270</v>
      </c>
      <c r="D119" s="2" t="s">
        <v>122</v>
      </c>
      <c r="E119" s="2" t="s">
        <v>224</v>
      </c>
      <c r="F119" s="2" t="s">
        <v>94</v>
      </c>
      <c r="G119" s="2" t="s">
        <v>846</v>
      </c>
      <c r="H119" s="4" t="s">
        <v>847</v>
      </c>
      <c r="I119" s="4" t="s">
        <v>848</v>
      </c>
      <c r="J119" s="4" t="s">
        <v>849</v>
      </c>
      <c r="K119" s="2" t="s">
        <v>29</v>
      </c>
      <c r="L119" s="2" t="s">
        <v>30</v>
      </c>
      <c r="M119" s="4" t="s">
        <v>850</v>
      </c>
      <c r="N119" s="2" t="s">
        <v>29</v>
      </c>
      <c r="O119" s="4" t="s">
        <v>29</v>
      </c>
      <c r="P119" s="4" t="s">
        <v>851</v>
      </c>
      <c r="Q119" s="2" t="s">
        <v>60</v>
      </c>
      <c r="R119" s="2" t="s">
        <v>36</v>
      </c>
      <c r="S119" s="2">
        <v>0</v>
      </c>
    </row>
    <row r="120" spans="1:19" s="2" customFormat="1" x14ac:dyDescent="0.25">
      <c r="A120" s="2" t="s">
        <v>852</v>
      </c>
      <c r="B120" s="2" t="s">
        <v>845</v>
      </c>
      <c r="C120" s="2" t="s">
        <v>270</v>
      </c>
      <c r="D120" s="2" t="s">
        <v>122</v>
      </c>
      <c r="E120" s="2" t="s">
        <v>224</v>
      </c>
      <c r="F120" s="2" t="s">
        <v>94</v>
      </c>
      <c r="G120" s="2" t="s">
        <v>853</v>
      </c>
      <c r="H120" s="4" t="s">
        <v>854</v>
      </c>
      <c r="I120" s="4" t="s">
        <v>848</v>
      </c>
      <c r="J120" s="4" t="s">
        <v>849</v>
      </c>
      <c r="K120" s="2" t="s">
        <v>844</v>
      </c>
      <c r="L120" s="2" t="s">
        <v>30</v>
      </c>
      <c r="M120" s="4" t="s">
        <v>850</v>
      </c>
      <c r="N120" s="2" t="s">
        <v>29</v>
      </c>
      <c r="O120" s="4" t="s">
        <v>29</v>
      </c>
      <c r="P120" s="4" t="s">
        <v>851</v>
      </c>
      <c r="Q120" s="2" t="s">
        <v>60</v>
      </c>
      <c r="R120" s="2" t="s">
        <v>36</v>
      </c>
      <c r="S120" s="2">
        <v>0</v>
      </c>
    </row>
    <row r="121" spans="1:19" s="2" customFormat="1" x14ac:dyDescent="0.25">
      <c r="A121" s="2" t="s">
        <v>855</v>
      </c>
      <c r="B121" s="2" t="s">
        <v>845</v>
      </c>
      <c r="C121" s="2" t="s">
        <v>270</v>
      </c>
      <c r="D121" s="2" t="s">
        <v>122</v>
      </c>
      <c r="E121" s="2" t="s">
        <v>53</v>
      </c>
      <c r="F121" s="2" t="s">
        <v>94</v>
      </c>
      <c r="G121" s="2" t="s">
        <v>856</v>
      </c>
      <c r="H121" s="4" t="s">
        <v>857</v>
      </c>
      <c r="I121" s="4" t="s">
        <v>848</v>
      </c>
      <c r="J121" s="4" t="s">
        <v>56</v>
      </c>
      <c r="K121" s="2" t="s">
        <v>858</v>
      </c>
      <c r="L121" s="2" t="s">
        <v>30</v>
      </c>
      <c r="M121" s="4" t="s">
        <v>58</v>
      </c>
      <c r="N121" s="2" t="s">
        <v>29</v>
      </c>
      <c r="O121" s="4" t="s">
        <v>29</v>
      </c>
      <c r="P121" s="4" t="s">
        <v>851</v>
      </c>
      <c r="Q121" s="2" t="s">
        <v>60</v>
      </c>
      <c r="R121" s="2" t="s">
        <v>36</v>
      </c>
      <c r="S121" s="2">
        <v>0</v>
      </c>
    </row>
    <row r="122" spans="1:19" s="2" customFormat="1" x14ac:dyDescent="0.25">
      <c r="A122" s="2" t="s">
        <v>859</v>
      </c>
      <c r="B122" s="2" t="s">
        <v>860</v>
      </c>
      <c r="C122" s="2" t="s">
        <v>270</v>
      </c>
      <c r="D122" s="2" t="s">
        <v>122</v>
      </c>
      <c r="E122" s="2" t="s">
        <v>224</v>
      </c>
      <c r="F122" s="2" t="s">
        <v>94</v>
      </c>
      <c r="G122" s="2" t="s">
        <v>861</v>
      </c>
      <c r="H122" s="4" t="s">
        <v>862</v>
      </c>
      <c r="I122" s="4" t="s">
        <v>863</v>
      </c>
      <c r="J122" s="4" t="s">
        <v>864</v>
      </c>
      <c r="K122" s="2" t="s">
        <v>29</v>
      </c>
      <c r="L122" s="2" t="s">
        <v>30</v>
      </c>
      <c r="M122" s="4" t="s">
        <v>865</v>
      </c>
      <c r="N122" s="2" t="s">
        <v>29</v>
      </c>
      <c r="O122" s="4" t="s">
        <v>29</v>
      </c>
      <c r="P122" s="4" t="s">
        <v>866</v>
      </c>
      <c r="Q122" s="2" t="s">
        <v>60</v>
      </c>
      <c r="R122" s="2" t="s">
        <v>36</v>
      </c>
      <c r="S122" s="2">
        <v>0</v>
      </c>
    </row>
    <row r="123" spans="1:19" s="2" customFormat="1" x14ac:dyDescent="0.25">
      <c r="A123" s="2" t="s">
        <v>867</v>
      </c>
      <c r="B123" s="2" t="s">
        <v>868</v>
      </c>
      <c r="C123" s="2" t="s">
        <v>270</v>
      </c>
      <c r="D123" s="2" t="s">
        <v>122</v>
      </c>
      <c r="E123" s="2" t="s">
        <v>224</v>
      </c>
      <c r="F123" s="2" t="s">
        <v>94</v>
      </c>
      <c r="G123" s="2" t="s">
        <v>869</v>
      </c>
      <c r="H123" s="4" t="s">
        <v>870</v>
      </c>
      <c r="I123" s="4" t="s">
        <v>871</v>
      </c>
      <c r="J123" s="4" t="s">
        <v>872</v>
      </c>
      <c r="K123" s="2" t="s">
        <v>29</v>
      </c>
      <c r="L123" s="2" t="s">
        <v>30</v>
      </c>
      <c r="M123" s="4" t="s">
        <v>873</v>
      </c>
      <c r="N123" s="2" t="s">
        <v>29</v>
      </c>
      <c r="O123" s="4" t="s">
        <v>29</v>
      </c>
      <c r="P123" s="4" t="s">
        <v>874</v>
      </c>
      <c r="Q123" s="2" t="s">
        <v>60</v>
      </c>
      <c r="R123" s="2" t="s">
        <v>36</v>
      </c>
      <c r="S123" s="2">
        <v>0</v>
      </c>
    </row>
    <row r="124" spans="1:19" s="2" customFormat="1" x14ac:dyDescent="0.25">
      <c r="A124" s="2" t="s">
        <v>875</v>
      </c>
      <c r="B124" s="2" t="s">
        <v>876</v>
      </c>
      <c r="C124" s="2" t="s">
        <v>270</v>
      </c>
      <c r="D124" s="2" t="s">
        <v>122</v>
      </c>
      <c r="E124" s="2" t="s">
        <v>224</v>
      </c>
      <c r="F124" s="2" t="s">
        <v>94</v>
      </c>
      <c r="G124" s="2" t="s">
        <v>877</v>
      </c>
      <c r="H124" s="4" t="s">
        <v>878</v>
      </c>
      <c r="I124" s="4" t="s">
        <v>879</v>
      </c>
      <c r="J124" s="4" t="s">
        <v>880</v>
      </c>
      <c r="K124" s="2" t="s">
        <v>29</v>
      </c>
      <c r="L124" s="2" t="s">
        <v>30</v>
      </c>
      <c r="M124" s="4" t="s">
        <v>881</v>
      </c>
      <c r="N124" s="2" t="s">
        <v>29</v>
      </c>
      <c r="O124" s="4" t="s">
        <v>29</v>
      </c>
      <c r="P124" s="4" t="s">
        <v>882</v>
      </c>
      <c r="Q124" s="2" t="s">
        <v>60</v>
      </c>
      <c r="R124" s="2" t="s">
        <v>36</v>
      </c>
      <c r="S124" s="2">
        <v>0</v>
      </c>
    </row>
    <row r="125" spans="1:19" s="2" customFormat="1" x14ac:dyDescent="0.25">
      <c r="A125" s="2" t="s">
        <v>883</v>
      </c>
      <c r="B125" s="2" t="s">
        <v>884</v>
      </c>
      <c r="C125" s="2" t="s">
        <v>270</v>
      </c>
      <c r="D125" s="2" t="s">
        <v>122</v>
      </c>
      <c r="E125" s="2" t="s">
        <v>224</v>
      </c>
      <c r="F125" s="2" t="s">
        <v>94</v>
      </c>
      <c r="G125" s="2" t="s">
        <v>885</v>
      </c>
      <c r="H125" s="4" t="s">
        <v>886</v>
      </c>
      <c r="I125" s="4" t="s">
        <v>887</v>
      </c>
      <c r="J125" s="4" t="s">
        <v>888</v>
      </c>
      <c r="K125" s="2" t="s">
        <v>29</v>
      </c>
      <c r="L125" s="2" t="s">
        <v>30</v>
      </c>
      <c r="M125" s="4" t="s">
        <v>889</v>
      </c>
      <c r="N125" s="2" t="s">
        <v>29</v>
      </c>
      <c r="O125" s="4" t="s">
        <v>29</v>
      </c>
      <c r="P125" s="4" t="s">
        <v>890</v>
      </c>
      <c r="Q125" s="2" t="s">
        <v>60</v>
      </c>
      <c r="R125" s="2" t="s">
        <v>36</v>
      </c>
      <c r="S125" s="2">
        <v>0</v>
      </c>
    </row>
    <row r="126" spans="1:19" s="2" customFormat="1" x14ac:dyDescent="0.25">
      <c r="A126" s="2" t="s">
        <v>891</v>
      </c>
      <c r="B126" s="2" t="s">
        <v>892</v>
      </c>
      <c r="C126" s="2" t="s">
        <v>270</v>
      </c>
      <c r="D126" s="2" t="s">
        <v>122</v>
      </c>
      <c r="E126" s="2" t="s">
        <v>224</v>
      </c>
      <c r="F126" s="2" t="s">
        <v>159</v>
      </c>
      <c r="G126" s="2" t="s">
        <v>893</v>
      </c>
      <c r="H126" s="4" t="s">
        <v>894</v>
      </c>
      <c r="I126" s="4" t="s">
        <v>895</v>
      </c>
      <c r="J126" s="4" t="s">
        <v>896</v>
      </c>
      <c r="K126" s="2" t="s">
        <v>29</v>
      </c>
      <c r="L126" s="2" t="s">
        <v>30</v>
      </c>
      <c r="M126" s="4" t="s">
        <v>897</v>
      </c>
      <c r="N126" s="2" t="s">
        <v>29</v>
      </c>
      <c r="O126" s="4" t="s">
        <v>29</v>
      </c>
      <c r="P126" s="4" t="s">
        <v>898</v>
      </c>
      <c r="Q126" s="2" t="s">
        <v>60</v>
      </c>
      <c r="R126" s="2" t="s">
        <v>36</v>
      </c>
      <c r="S126" s="2">
        <v>0</v>
      </c>
    </row>
    <row r="127" spans="1:19" s="2" customFormat="1" x14ac:dyDescent="0.25">
      <c r="A127" s="2" t="s">
        <v>899</v>
      </c>
      <c r="B127" s="2" t="s">
        <v>900</v>
      </c>
      <c r="C127" s="2" t="s">
        <v>270</v>
      </c>
      <c r="D127" s="2" t="s">
        <v>122</v>
      </c>
      <c r="E127" s="2" t="s">
        <v>224</v>
      </c>
      <c r="F127" s="2" t="s">
        <v>94</v>
      </c>
      <c r="G127" s="2" t="s">
        <v>901</v>
      </c>
      <c r="H127" s="4" t="s">
        <v>902</v>
      </c>
      <c r="I127" s="4" t="s">
        <v>903</v>
      </c>
      <c r="J127" s="4" t="s">
        <v>904</v>
      </c>
      <c r="K127" s="2" t="s">
        <v>29</v>
      </c>
      <c r="L127" s="2" t="s">
        <v>30</v>
      </c>
      <c r="M127" s="4" t="s">
        <v>905</v>
      </c>
      <c r="N127" s="2" t="s">
        <v>29</v>
      </c>
      <c r="O127" s="4" t="s">
        <v>29</v>
      </c>
      <c r="P127" s="4" t="s">
        <v>906</v>
      </c>
      <c r="Q127" s="2" t="s">
        <v>60</v>
      </c>
      <c r="R127" s="2" t="s">
        <v>36</v>
      </c>
      <c r="S127" s="2">
        <v>0</v>
      </c>
    </row>
    <row r="128" spans="1:19" s="2" customFormat="1" x14ac:dyDescent="0.25">
      <c r="A128" s="2" t="s">
        <v>907</v>
      </c>
      <c r="B128" s="2" t="s">
        <v>908</v>
      </c>
      <c r="C128" s="2" t="s">
        <v>536</v>
      </c>
      <c r="D128" s="2" t="s">
        <v>72</v>
      </c>
      <c r="E128" s="2" t="s">
        <v>93</v>
      </c>
      <c r="F128" s="2" t="s">
        <v>94</v>
      </c>
      <c r="G128" s="2" t="s">
        <v>909</v>
      </c>
      <c r="H128" s="4" t="s">
        <v>910</v>
      </c>
      <c r="I128" s="4" t="s">
        <v>911</v>
      </c>
      <c r="J128" s="4" t="s">
        <v>912</v>
      </c>
      <c r="K128" s="2" t="s">
        <v>29</v>
      </c>
      <c r="L128" s="2" t="s">
        <v>285</v>
      </c>
      <c r="M128" s="4" t="s">
        <v>913</v>
      </c>
      <c r="N128" s="2" t="s">
        <v>29</v>
      </c>
      <c r="O128" s="4" t="s">
        <v>29</v>
      </c>
      <c r="P128" s="4" t="s">
        <v>914</v>
      </c>
      <c r="Q128" s="8" t="s">
        <v>278</v>
      </c>
      <c r="R128" s="2" t="s">
        <v>36</v>
      </c>
      <c r="S128" s="2">
        <v>0</v>
      </c>
    </row>
    <row r="129" spans="1:19" s="2" customFormat="1" x14ac:dyDescent="0.25">
      <c r="A129" s="2" t="s">
        <v>915</v>
      </c>
      <c r="B129" s="2" t="s">
        <v>908</v>
      </c>
      <c r="C129" s="2" t="s">
        <v>536</v>
      </c>
      <c r="D129" s="2" t="s">
        <v>72</v>
      </c>
      <c r="E129" s="2" t="s">
        <v>93</v>
      </c>
      <c r="F129" s="2" t="s">
        <v>94</v>
      </c>
      <c r="G129" s="2" t="s">
        <v>916</v>
      </c>
      <c r="H129" s="4" t="s">
        <v>917</v>
      </c>
      <c r="I129" s="4" t="s">
        <v>911</v>
      </c>
      <c r="J129" s="4" t="s">
        <v>912</v>
      </c>
      <c r="K129" s="2" t="s">
        <v>907</v>
      </c>
      <c r="L129" s="2" t="s">
        <v>285</v>
      </c>
      <c r="M129" s="4" t="s">
        <v>913</v>
      </c>
      <c r="N129" s="2" t="s">
        <v>29</v>
      </c>
      <c r="O129" s="4" t="s">
        <v>29</v>
      </c>
      <c r="P129" s="4" t="s">
        <v>914</v>
      </c>
      <c r="Q129" s="8" t="s">
        <v>278</v>
      </c>
      <c r="R129" s="2" t="s">
        <v>36</v>
      </c>
      <c r="S129" s="2">
        <v>0</v>
      </c>
    </row>
    <row r="130" spans="1:19" s="2" customFormat="1" x14ac:dyDescent="0.25">
      <c r="A130" s="2" t="s">
        <v>918</v>
      </c>
      <c r="B130" s="2" t="s">
        <v>908</v>
      </c>
      <c r="C130" s="2" t="s">
        <v>536</v>
      </c>
      <c r="D130" s="2" t="s">
        <v>72</v>
      </c>
      <c r="E130" s="2" t="s">
        <v>53</v>
      </c>
      <c r="F130" s="2" t="s">
        <v>94</v>
      </c>
      <c r="G130" s="2" t="s">
        <v>919</v>
      </c>
      <c r="H130" s="4" t="s">
        <v>920</v>
      </c>
      <c r="I130" s="4" t="s">
        <v>911</v>
      </c>
      <c r="J130" s="4" t="s">
        <v>56</v>
      </c>
      <c r="K130" s="2" t="s">
        <v>921</v>
      </c>
      <c r="L130" s="2" t="s">
        <v>30</v>
      </c>
      <c r="M130" s="4" t="s">
        <v>58</v>
      </c>
      <c r="N130" s="2" t="s">
        <v>29</v>
      </c>
      <c r="O130" s="4" t="s">
        <v>29</v>
      </c>
      <c r="P130" s="4" t="s">
        <v>914</v>
      </c>
      <c r="Q130" s="2" t="s">
        <v>60</v>
      </c>
      <c r="R130" s="2" t="s">
        <v>36</v>
      </c>
      <c r="S130" s="2">
        <v>0</v>
      </c>
    </row>
    <row r="131" spans="1:19" s="2" customFormat="1" x14ac:dyDescent="0.25">
      <c r="A131" s="2" t="s">
        <v>922</v>
      </c>
      <c r="B131" s="2" t="s">
        <v>923</v>
      </c>
      <c r="C131" s="2" t="s">
        <v>536</v>
      </c>
      <c r="D131" s="2" t="s">
        <v>72</v>
      </c>
      <c r="E131" s="2" t="s">
        <v>374</v>
      </c>
      <c r="F131" s="2" t="s">
        <v>94</v>
      </c>
      <c r="G131" s="2" t="s">
        <v>924</v>
      </c>
      <c r="H131" s="4" t="s">
        <v>925</v>
      </c>
      <c r="I131" s="4" t="s">
        <v>926</v>
      </c>
      <c r="J131" s="4" t="s">
        <v>927</v>
      </c>
      <c r="K131" s="2" t="s">
        <v>29</v>
      </c>
      <c r="L131" s="2" t="s">
        <v>285</v>
      </c>
      <c r="M131" s="4" t="s">
        <v>928</v>
      </c>
      <c r="N131" s="2" t="s">
        <v>29</v>
      </c>
      <c r="O131" s="4" t="s">
        <v>29</v>
      </c>
      <c r="P131" s="4" t="s">
        <v>929</v>
      </c>
      <c r="Q131" s="8" t="s">
        <v>278</v>
      </c>
      <c r="R131" s="2" t="s">
        <v>36</v>
      </c>
      <c r="S131" s="2">
        <v>0</v>
      </c>
    </row>
    <row r="132" spans="1:19" s="2" customFormat="1" x14ac:dyDescent="0.25">
      <c r="A132" s="2" t="s">
        <v>930</v>
      </c>
      <c r="B132" s="2" t="s">
        <v>923</v>
      </c>
      <c r="C132" s="2" t="s">
        <v>536</v>
      </c>
      <c r="D132" s="2" t="s">
        <v>72</v>
      </c>
      <c r="E132" s="2" t="s">
        <v>374</v>
      </c>
      <c r="F132" s="2" t="s">
        <v>94</v>
      </c>
      <c r="G132" s="2" t="s">
        <v>931</v>
      </c>
      <c r="H132" s="4" t="s">
        <v>932</v>
      </c>
      <c r="I132" s="4" t="s">
        <v>926</v>
      </c>
      <c r="J132" s="4" t="s">
        <v>927</v>
      </c>
      <c r="K132" s="2" t="s">
        <v>922</v>
      </c>
      <c r="L132" s="2" t="s">
        <v>285</v>
      </c>
      <c r="M132" s="4" t="s">
        <v>928</v>
      </c>
      <c r="N132" s="2" t="s">
        <v>29</v>
      </c>
      <c r="O132" s="4" t="s">
        <v>29</v>
      </c>
      <c r="P132" s="4" t="s">
        <v>929</v>
      </c>
      <c r="Q132" s="8" t="s">
        <v>278</v>
      </c>
      <c r="R132" s="2" t="s">
        <v>36</v>
      </c>
      <c r="S132" s="2">
        <v>0</v>
      </c>
    </row>
    <row r="133" spans="1:19" s="2" customFormat="1" x14ac:dyDescent="0.25">
      <c r="A133" s="2" t="s">
        <v>933</v>
      </c>
      <c r="B133" s="2" t="s">
        <v>923</v>
      </c>
      <c r="C133" s="2" t="s">
        <v>536</v>
      </c>
      <c r="D133" s="2" t="s">
        <v>72</v>
      </c>
      <c r="E133" s="2" t="s">
        <v>53</v>
      </c>
      <c r="F133" s="2" t="s">
        <v>94</v>
      </c>
      <c r="G133" s="2" t="s">
        <v>934</v>
      </c>
      <c r="H133" s="4" t="s">
        <v>935</v>
      </c>
      <c r="I133" s="4" t="s">
        <v>926</v>
      </c>
      <c r="J133" s="4" t="s">
        <v>56</v>
      </c>
      <c r="K133" s="2" t="s">
        <v>936</v>
      </c>
      <c r="L133" s="2" t="s">
        <v>30</v>
      </c>
      <c r="M133" s="4" t="s">
        <v>58</v>
      </c>
      <c r="N133" s="2" t="s">
        <v>29</v>
      </c>
      <c r="O133" s="4" t="s">
        <v>29</v>
      </c>
      <c r="P133" s="4" t="s">
        <v>929</v>
      </c>
      <c r="Q133" s="2" t="s">
        <v>60</v>
      </c>
      <c r="R133" s="2" t="s">
        <v>36</v>
      </c>
      <c r="S133" s="2">
        <v>0</v>
      </c>
    </row>
    <row r="134" spans="1:19" s="2" customFormat="1" x14ac:dyDescent="0.25">
      <c r="A134" s="2" t="s">
        <v>937</v>
      </c>
      <c r="B134" s="2" t="s">
        <v>938</v>
      </c>
      <c r="C134" s="2" t="s">
        <v>536</v>
      </c>
      <c r="D134" s="2" t="s">
        <v>122</v>
      </c>
      <c r="E134" s="2" t="s">
        <v>93</v>
      </c>
      <c r="F134" s="2" t="s">
        <v>73</v>
      </c>
      <c r="G134" s="2" t="s">
        <v>939</v>
      </c>
      <c r="H134" s="4" t="s">
        <v>940</v>
      </c>
      <c r="I134" s="4" t="s">
        <v>941</v>
      </c>
      <c r="J134" s="4" t="s">
        <v>942</v>
      </c>
      <c r="K134" s="2" t="s">
        <v>29</v>
      </c>
      <c r="L134" s="2" t="s">
        <v>44</v>
      </c>
      <c r="M134" s="4" t="s">
        <v>943</v>
      </c>
      <c r="N134" s="2" t="s">
        <v>29</v>
      </c>
      <c r="O134" s="4" t="s">
        <v>29</v>
      </c>
      <c r="P134" s="4" t="s">
        <v>944</v>
      </c>
      <c r="Q134" s="6" t="s">
        <v>35</v>
      </c>
      <c r="R134" s="9" t="s">
        <v>710</v>
      </c>
      <c r="S134" s="2">
        <v>0</v>
      </c>
    </row>
    <row r="135" spans="1:19" s="2" customFormat="1" x14ac:dyDescent="0.25">
      <c r="A135" s="2" t="s">
        <v>945</v>
      </c>
      <c r="B135" s="2" t="s">
        <v>946</v>
      </c>
      <c r="C135" s="2" t="s">
        <v>536</v>
      </c>
      <c r="D135" s="2" t="s">
        <v>122</v>
      </c>
      <c r="E135" s="2" t="s">
        <v>93</v>
      </c>
      <c r="F135" s="2" t="s">
        <v>94</v>
      </c>
      <c r="G135" s="2" t="s">
        <v>947</v>
      </c>
      <c r="H135" s="4" t="s">
        <v>948</v>
      </c>
      <c r="I135" s="4" t="s">
        <v>949</v>
      </c>
      <c r="J135" s="4" t="s">
        <v>950</v>
      </c>
      <c r="K135" s="2" t="s">
        <v>29</v>
      </c>
      <c r="L135" s="2" t="s">
        <v>30</v>
      </c>
      <c r="M135" s="4" t="s">
        <v>951</v>
      </c>
      <c r="N135" s="2" t="s">
        <v>29</v>
      </c>
      <c r="O135" s="4" t="s">
        <v>29</v>
      </c>
      <c r="P135" s="4" t="s">
        <v>952</v>
      </c>
      <c r="Q135" s="2" t="s">
        <v>60</v>
      </c>
      <c r="R135" s="2" t="s">
        <v>36</v>
      </c>
      <c r="S135" s="2">
        <v>0</v>
      </c>
    </row>
    <row r="136" spans="1:19" s="2" customFormat="1" x14ac:dyDescent="0.25">
      <c r="A136" s="2" t="s">
        <v>953</v>
      </c>
      <c r="B136" s="2" t="s">
        <v>954</v>
      </c>
      <c r="C136" s="2" t="s">
        <v>536</v>
      </c>
      <c r="D136" s="2" t="s">
        <v>122</v>
      </c>
      <c r="E136" s="2" t="s">
        <v>39</v>
      </c>
      <c r="F136" s="2" t="s">
        <v>83</v>
      </c>
      <c r="G136" s="2" t="s">
        <v>955</v>
      </c>
      <c r="H136" s="4" t="s">
        <v>956</v>
      </c>
      <c r="I136" s="4" t="s">
        <v>957</v>
      </c>
      <c r="J136" s="4" t="s">
        <v>958</v>
      </c>
      <c r="K136" s="2" t="s">
        <v>29</v>
      </c>
      <c r="L136" s="2" t="s">
        <v>44</v>
      </c>
      <c r="M136" s="4" t="s">
        <v>959</v>
      </c>
      <c r="N136" s="2" t="s">
        <v>29</v>
      </c>
      <c r="O136" s="4" t="s">
        <v>29</v>
      </c>
      <c r="P136" s="4" t="s">
        <v>960</v>
      </c>
      <c r="Q136" s="6" t="s">
        <v>35</v>
      </c>
      <c r="R136" s="9" t="s">
        <v>710</v>
      </c>
      <c r="S136" s="2">
        <v>0</v>
      </c>
    </row>
    <row r="137" spans="1:19" s="2" customFormat="1" x14ac:dyDescent="0.25">
      <c r="A137" s="2" t="s">
        <v>961</v>
      </c>
      <c r="B137" s="2" t="s">
        <v>962</v>
      </c>
      <c r="C137" s="2" t="s">
        <v>536</v>
      </c>
      <c r="D137" s="2" t="s">
        <v>122</v>
      </c>
      <c r="E137" s="2" t="s">
        <v>39</v>
      </c>
      <c r="F137" s="2" t="s">
        <v>73</v>
      </c>
      <c r="G137" s="2" t="s">
        <v>963</v>
      </c>
      <c r="H137" s="4" t="s">
        <v>964</v>
      </c>
      <c r="I137" s="4" t="s">
        <v>965</v>
      </c>
      <c r="J137" s="4" t="s">
        <v>966</v>
      </c>
      <c r="K137" s="2" t="s">
        <v>29</v>
      </c>
      <c r="L137" s="2" t="s">
        <v>44</v>
      </c>
      <c r="M137" s="4" t="s">
        <v>967</v>
      </c>
      <c r="N137" s="2" t="s">
        <v>29</v>
      </c>
      <c r="O137" s="4" t="s">
        <v>29</v>
      </c>
      <c r="P137" s="4" t="s">
        <v>968</v>
      </c>
      <c r="Q137" s="6" t="s">
        <v>35</v>
      </c>
      <c r="R137" s="9" t="s">
        <v>710</v>
      </c>
      <c r="S137" s="2">
        <v>0</v>
      </c>
    </row>
    <row r="138" spans="1:19" s="2" customFormat="1" x14ac:dyDescent="0.25">
      <c r="A138" s="2" t="s">
        <v>969</v>
      </c>
      <c r="B138" s="2" t="s">
        <v>970</v>
      </c>
      <c r="C138" s="2" t="s">
        <v>536</v>
      </c>
      <c r="D138" s="2" t="s">
        <v>122</v>
      </c>
      <c r="E138" s="2" t="s">
        <v>374</v>
      </c>
      <c r="F138" s="2" t="s">
        <v>73</v>
      </c>
      <c r="G138" s="2" t="s">
        <v>971</v>
      </c>
      <c r="H138" s="4" t="s">
        <v>972</v>
      </c>
      <c r="I138" s="4" t="s">
        <v>973</v>
      </c>
      <c r="J138" s="4" t="s">
        <v>974</v>
      </c>
      <c r="K138" s="2" t="s">
        <v>29</v>
      </c>
      <c r="L138" s="2" t="s">
        <v>44</v>
      </c>
      <c r="M138" s="4" t="s">
        <v>975</v>
      </c>
      <c r="N138" s="2" t="s">
        <v>29</v>
      </c>
      <c r="O138" s="4" t="s">
        <v>29</v>
      </c>
      <c r="P138" s="4" t="s">
        <v>976</v>
      </c>
      <c r="Q138" s="8" t="s">
        <v>278</v>
      </c>
      <c r="R138" s="2" t="s">
        <v>36</v>
      </c>
      <c r="S138" s="2">
        <v>0</v>
      </c>
    </row>
    <row r="139" spans="1:19" s="2" customFormat="1" x14ac:dyDescent="0.25">
      <c r="A139" s="2" t="s">
        <v>977</v>
      </c>
      <c r="B139" s="2" t="s">
        <v>978</v>
      </c>
      <c r="C139" s="2" t="s">
        <v>536</v>
      </c>
      <c r="D139" s="2" t="s">
        <v>122</v>
      </c>
      <c r="E139" s="2" t="s">
        <v>374</v>
      </c>
      <c r="F139" s="2" t="s">
        <v>94</v>
      </c>
      <c r="G139" s="2" t="s">
        <v>979</v>
      </c>
      <c r="H139" s="4" t="s">
        <v>980</v>
      </c>
      <c r="I139" s="4" t="s">
        <v>981</v>
      </c>
      <c r="J139" s="4" t="s">
        <v>982</v>
      </c>
      <c r="K139" s="2" t="s">
        <v>29</v>
      </c>
      <c r="L139" s="2" t="s">
        <v>44</v>
      </c>
      <c r="M139" s="4" t="s">
        <v>983</v>
      </c>
      <c r="N139" s="2" t="s">
        <v>29</v>
      </c>
      <c r="O139" s="4" t="s">
        <v>29</v>
      </c>
      <c r="P139" s="4" t="s">
        <v>984</v>
      </c>
      <c r="Q139" s="2" t="s">
        <v>60</v>
      </c>
      <c r="R139" s="2" t="s">
        <v>36</v>
      </c>
      <c r="S139" s="2">
        <v>0</v>
      </c>
    </row>
    <row r="140" spans="1:19" s="2" customFormat="1" x14ac:dyDescent="0.25">
      <c r="A140" s="2" t="s">
        <v>985</v>
      </c>
      <c r="B140" s="2" t="s">
        <v>986</v>
      </c>
      <c r="C140" s="2" t="s">
        <v>536</v>
      </c>
      <c r="D140" s="2" t="s">
        <v>122</v>
      </c>
      <c r="E140" s="2" t="s">
        <v>374</v>
      </c>
      <c r="F140" s="2" t="s">
        <v>337</v>
      </c>
      <c r="G140" s="2" t="s">
        <v>987</v>
      </c>
      <c r="H140" s="4" t="s">
        <v>988</v>
      </c>
      <c r="I140" s="4" t="s">
        <v>989</v>
      </c>
      <c r="J140" s="4" t="s">
        <v>990</v>
      </c>
      <c r="K140" s="2" t="s">
        <v>29</v>
      </c>
      <c r="L140" s="2" t="s">
        <v>44</v>
      </c>
      <c r="M140" s="4" t="s">
        <v>991</v>
      </c>
      <c r="N140" s="2" t="s">
        <v>29</v>
      </c>
      <c r="O140" s="4" t="s">
        <v>29</v>
      </c>
      <c r="P140" s="4" t="s">
        <v>992</v>
      </c>
      <c r="Q140" s="8" t="s">
        <v>278</v>
      </c>
      <c r="R140" s="2" t="s">
        <v>36</v>
      </c>
      <c r="S140" s="2">
        <v>0</v>
      </c>
    </row>
    <row r="141" spans="1:19" s="2" customFormat="1" x14ac:dyDescent="0.25">
      <c r="A141" s="2" t="s">
        <v>993</v>
      </c>
      <c r="B141" s="2" t="s">
        <v>994</v>
      </c>
      <c r="C141" s="2" t="s">
        <v>536</v>
      </c>
      <c r="D141" s="2" t="s">
        <v>122</v>
      </c>
      <c r="E141" s="2" t="s">
        <v>374</v>
      </c>
      <c r="F141" s="2" t="s">
        <v>159</v>
      </c>
      <c r="G141" s="2" t="s">
        <v>995</v>
      </c>
      <c r="H141" s="4" t="s">
        <v>996</v>
      </c>
      <c r="I141" s="4" t="s">
        <v>997</v>
      </c>
      <c r="J141" s="4" t="s">
        <v>998</v>
      </c>
      <c r="K141" s="2" t="s">
        <v>29</v>
      </c>
      <c r="L141" s="2" t="s">
        <v>44</v>
      </c>
      <c r="M141" s="4" t="s">
        <v>999</v>
      </c>
      <c r="N141" s="2" t="s">
        <v>29</v>
      </c>
      <c r="O141" s="4" t="s">
        <v>29</v>
      </c>
      <c r="P141" s="4" t="s">
        <v>1000</v>
      </c>
      <c r="Q141" s="2" t="s">
        <v>60</v>
      </c>
      <c r="R141" s="2" t="s">
        <v>36</v>
      </c>
      <c r="S141" s="2">
        <v>0</v>
      </c>
    </row>
    <row r="142" spans="1:19" s="2" customFormat="1" x14ac:dyDescent="0.25">
      <c r="A142" s="2" t="s">
        <v>1001</v>
      </c>
      <c r="B142" s="2" t="s">
        <v>1002</v>
      </c>
      <c r="C142" s="2" t="s">
        <v>536</v>
      </c>
      <c r="D142" s="2" t="s">
        <v>122</v>
      </c>
      <c r="E142" s="2" t="s">
        <v>374</v>
      </c>
      <c r="F142" s="2" t="s">
        <v>94</v>
      </c>
      <c r="G142" s="2" t="s">
        <v>1003</v>
      </c>
      <c r="H142" s="4" t="s">
        <v>1004</v>
      </c>
      <c r="I142" s="4" t="s">
        <v>1005</v>
      </c>
      <c r="J142" s="4" t="s">
        <v>1006</v>
      </c>
      <c r="K142" s="2" t="s">
        <v>29</v>
      </c>
      <c r="L142" s="2" t="s">
        <v>44</v>
      </c>
      <c r="M142" s="4" t="s">
        <v>1007</v>
      </c>
      <c r="N142" s="2" t="s">
        <v>29</v>
      </c>
      <c r="O142" s="4" t="s">
        <v>29</v>
      </c>
      <c r="P142" s="4" t="s">
        <v>1008</v>
      </c>
      <c r="Q142" s="8" t="s">
        <v>278</v>
      </c>
      <c r="R142" s="2" t="s">
        <v>36</v>
      </c>
      <c r="S142" s="2">
        <v>0</v>
      </c>
    </row>
    <row r="143" spans="1:19" s="2" customFormat="1" x14ac:dyDescent="0.25">
      <c r="A143" s="2" t="s">
        <v>1009</v>
      </c>
      <c r="B143" s="2" t="s">
        <v>1010</v>
      </c>
      <c r="C143" s="2" t="s">
        <v>536</v>
      </c>
      <c r="D143" s="2" t="s">
        <v>122</v>
      </c>
      <c r="E143" s="2" t="s">
        <v>374</v>
      </c>
      <c r="F143" s="2" t="s">
        <v>94</v>
      </c>
      <c r="G143" s="2" t="s">
        <v>1011</v>
      </c>
      <c r="H143" s="4" t="s">
        <v>1012</v>
      </c>
      <c r="I143" s="4" t="s">
        <v>1013</v>
      </c>
      <c r="J143" s="4" t="s">
        <v>1014</v>
      </c>
      <c r="K143" s="2" t="s">
        <v>29</v>
      </c>
      <c r="L143" s="2" t="s">
        <v>44</v>
      </c>
      <c r="M143" s="4" t="s">
        <v>1015</v>
      </c>
      <c r="N143" s="2" t="s">
        <v>29</v>
      </c>
      <c r="O143" s="4" t="s">
        <v>29</v>
      </c>
      <c r="P143" s="4" t="s">
        <v>1016</v>
      </c>
      <c r="Q143" s="8" t="s">
        <v>278</v>
      </c>
      <c r="R143" s="2" t="s">
        <v>36</v>
      </c>
      <c r="S143" s="2">
        <v>0</v>
      </c>
    </row>
    <row r="144" spans="1:19" s="2" customFormat="1" x14ac:dyDescent="0.25">
      <c r="A144" s="2" t="s">
        <v>1017</v>
      </c>
      <c r="B144" s="2" t="s">
        <v>1018</v>
      </c>
      <c r="C144" s="2" t="s">
        <v>536</v>
      </c>
      <c r="D144" s="2" t="s">
        <v>122</v>
      </c>
      <c r="E144" s="2" t="s">
        <v>374</v>
      </c>
      <c r="F144" s="2" t="s">
        <v>73</v>
      </c>
      <c r="G144" s="2" t="s">
        <v>1019</v>
      </c>
      <c r="H144" s="4" t="s">
        <v>1020</v>
      </c>
      <c r="I144" s="4" t="s">
        <v>1021</v>
      </c>
      <c r="J144" s="4" t="s">
        <v>1022</v>
      </c>
      <c r="K144" s="2" t="s">
        <v>29</v>
      </c>
      <c r="L144" s="2" t="s">
        <v>44</v>
      </c>
      <c r="M144" s="4" t="s">
        <v>1023</v>
      </c>
      <c r="N144" s="2" t="s">
        <v>29</v>
      </c>
      <c r="O144" s="4" t="s">
        <v>29</v>
      </c>
      <c r="P144" s="4" t="s">
        <v>1024</v>
      </c>
      <c r="Q144" s="8" t="s">
        <v>278</v>
      </c>
      <c r="R144" s="2" t="s">
        <v>36</v>
      </c>
      <c r="S144" s="2">
        <v>0</v>
      </c>
    </row>
    <row r="145" spans="1:19" s="2" customFormat="1" x14ac:dyDescent="0.25">
      <c r="A145" s="2" t="s">
        <v>1025</v>
      </c>
      <c r="B145" s="2" t="s">
        <v>1026</v>
      </c>
      <c r="C145" s="2" t="s">
        <v>536</v>
      </c>
      <c r="D145" s="2" t="s">
        <v>122</v>
      </c>
      <c r="E145" s="2" t="s">
        <v>224</v>
      </c>
      <c r="F145" s="2" t="s">
        <v>94</v>
      </c>
      <c r="G145" s="2" t="s">
        <v>1027</v>
      </c>
      <c r="H145" s="4" t="s">
        <v>1028</v>
      </c>
      <c r="I145" s="4" t="s">
        <v>1029</v>
      </c>
      <c r="J145" s="4" t="s">
        <v>1030</v>
      </c>
      <c r="K145" s="2" t="s">
        <v>29</v>
      </c>
      <c r="L145" s="2" t="s">
        <v>44</v>
      </c>
      <c r="M145" s="4" t="s">
        <v>1031</v>
      </c>
      <c r="N145" s="2" t="s">
        <v>29</v>
      </c>
      <c r="O145" s="4" t="s">
        <v>29</v>
      </c>
      <c r="P145" s="4" t="s">
        <v>1032</v>
      </c>
      <c r="Q145" s="2" t="s">
        <v>60</v>
      </c>
      <c r="R145" s="2" t="s">
        <v>36</v>
      </c>
      <c r="S145" s="2">
        <v>0</v>
      </c>
    </row>
    <row r="146" spans="1:19" s="2" customFormat="1" x14ac:dyDescent="0.25">
      <c r="A146" s="2" t="s">
        <v>1033</v>
      </c>
      <c r="B146" s="2" t="s">
        <v>1034</v>
      </c>
      <c r="C146" s="2" t="s">
        <v>536</v>
      </c>
      <c r="D146" s="2" t="s">
        <v>122</v>
      </c>
      <c r="E146" s="2" t="s">
        <v>224</v>
      </c>
      <c r="F146" s="2" t="s">
        <v>94</v>
      </c>
      <c r="G146" s="2" t="s">
        <v>1035</v>
      </c>
      <c r="H146" s="4" t="s">
        <v>1036</v>
      </c>
      <c r="I146" s="4" t="s">
        <v>1037</v>
      </c>
      <c r="J146" s="4" t="s">
        <v>1038</v>
      </c>
      <c r="K146" s="2" t="s">
        <v>29</v>
      </c>
      <c r="L146" s="2" t="s">
        <v>44</v>
      </c>
      <c r="M146" s="4" t="s">
        <v>1039</v>
      </c>
      <c r="N146" s="2" t="s">
        <v>29</v>
      </c>
      <c r="O146" s="4" t="s">
        <v>29</v>
      </c>
      <c r="P146" s="4" t="s">
        <v>1040</v>
      </c>
      <c r="Q146" s="8" t="s">
        <v>278</v>
      </c>
      <c r="R146" s="2" t="s">
        <v>36</v>
      </c>
      <c r="S146" s="2">
        <v>0</v>
      </c>
    </row>
    <row r="147" spans="1:19" s="2" customFormat="1" x14ac:dyDescent="0.25">
      <c r="A147" s="2" t="s">
        <v>1041</v>
      </c>
      <c r="B147" s="2" t="s">
        <v>1042</v>
      </c>
      <c r="C147" s="2" t="s">
        <v>536</v>
      </c>
      <c r="D147" s="2" t="s">
        <v>122</v>
      </c>
      <c r="E147" s="2" t="s">
        <v>224</v>
      </c>
      <c r="F147" s="2" t="s">
        <v>94</v>
      </c>
      <c r="G147" s="2" t="s">
        <v>1043</v>
      </c>
      <c r="H147" s="4" t="s">
        <v>1044</v>
      </c>
      <c r="I147" s="4" t="s">
        <v>1045</v>
      </c>
      <c r="J147" s="4" t="s">
        <v>1046</v>
      </c>
      <c r="K147" s="2" t="s">
        <v>29</v>
      </c>
      <c r="L147" s="2" t="s">
        <v>30</v>
      </c>
      <c r="M147" s="4" t="s">
        <v>1047</v>
      </c>
      <c r="N147" s="2" t="s">
        <v>29</v>
      </c>
      <c r="O147" s="4" t="s">
        <v>29</v>
      </c>
      <c r="P147" s="4" t="s">
        <v>1048</v>
      </c>
      <c r="Q147" s="2" t="s">
        <v>60</v>
      </c>
      <c r="R147" s="2" t="s">
        <v>36</v>
      </c>
      <c r="S147" s="2">
        <v>0</v>
      </c>
    </row>
    <row r="148" spans="1:19" s="2" customFormat="1" x14ac:dyDescent="0.25">
      <c r="A148" s="2" t="s">
        <v>1049</v>
      </c>
      <c r="B148" s="2" t="s">
        <v>1050</v>
      </c>
      <c r="C148" s="2" t="s">
        <v>1051</v>
      </c>
      <c r="D148" s="2" t="s">
        <v>122</v>
      </c>
      <c r="E148" s="2" t="s">
        <v>374</v>
      </c>
      <c r="F148" s="2" t="s">
        <v>94</v>
      </c>
      <c r="G148" s="2" t="s">
        <v>1052</v>
      </c>
      <c r="H148" s="4" t="s">
        <v>1053</v>
      </c>
      <c r="I148" s="4" t="s">
        <v>1054</v>
      </c>
      <c r="J148" s="4" t="s">
        <v>1055</v>
      </c>
      <c r="K148" s="2" t="s">
        <v>29</v>
      </c>
      <c r="L148" s="2" t="s">
        <v>285</v>
      </c>
      <c r="M148" s="4" t="s">
        <v>1056</v>
      </c>
      <c r="N148" s="2" t="s">
        <v>29</v>
      </c>
      <c r="O148" s="4" t="s">
        <v>29</v>
      </c>
      <c r="P148" s="4" t="s">
        <v>914</v>
      </c>
      <c r="Q148" s="8" t="s">
        <v>278</v>
      </c>
      <c r="R148" s="2" t="s">
        <v>36</v>
      </c>
      <c r="S148" s="2">
        <v>0</v>
      </c>
    </row>
    <row r="149" spans="1:19" s="2" customFormat="1" x14ac:dyDescent="0.25">
      <c r="A149" s="2" t="s">
        <v>1057</v>
      </c>
      <c r="B149" s="2" t="s">
        <v>1050</v>
      </c>
      <c r="C149" s="2" t="s">
        <v>1051</v>
      </c>
      <c r="D149" s="2" t="s">
        <v>122</v>
      </c>
      <c r="E149" s="2" t="s">
        <v>374</v>
      </c>
      <c r="F149" s="2" t="s">
        <v>94</v>
      </c>
      <c r="G149" s="2" t="s">
        <v>1058</v>
      </c>
      <c r="H149" s="4" t="s">
        <v>1059</v>
      </c>
      <c r="I149" s="4" t="s">
        <v>1054</v>
      </c>
      <c r="J149" s="4" t="s">
        <v>1055</v>
      </c>
      <c r="K149" s="2" t="s">
        <v>1049</v>
      </c>
      <c r="L149" s="2" t="s">
        <v>285</v>
      </c>
      <c r="M149" s="4" t="s">
        <v>1056</v>
      </c>
      <c r="N149" s="2" t="s">
        <v>29</v>
      </c>
      <c r="O149" s="4" t="s">
        <v>29</v>
      </c>
      <c r="P149" s="4" t="s">
        <v>914</v>
      </c>
      <c r="Q149" s="8" t="s">
        <v>278</v>
      </c>
      <c r="R149" s="2" t="s">
        <v>36</v>
      </c>
      <c r="S149" s="2">
        <v>0</v>
      </c>
    </row>
    <row r="150" spans="1:19" s="2" customFormat="1" x14ac:dyDescent="0.25">
      <c r="A150" s="2" t="s">
        <v>1060</v>
      </c>
      <c r="B150" s="2" t="s">
        <v>1050</v>
      </c>
      <c r="C150" s="2" t="s">
        <v>1051</v>
      </c>
      <c r="D150" s="2" t="s">
        <v>122</v>
      </c>
      <c r="E150" s="2" t="s">
        <v>53</v>
      </c>
      <c r="F150" s="2" t="s">
        <v>94</v>
      </c>
      <c r="G150" s="2" t="s">
        <v>1061</v>
      </c>
      <c r="H150" s="4" t="s">
        <v>1062</v>
      </c>
      <c r="I150" s="4" t="s">
        <v>1054</v>
      </c>
      <c r="J150" s="4" t="s">
        <v>56</v>
      </c>
      <c r="K150" s="2" t="s">
        <v>1063</v>
      </c>
      <c r="L150" s="2" t="s">
        <v>30</v>
      </c>
      <c r="M150" s="4" t="s">
        <v>58</v>
      </c>
      <c r="N150" s="2" t="s">
        <v>29</v>
      </c>
      <c r="O150" s="4" t="s">
        <v>29</v>
      </c>
      <c r="P150" s="4" t="s">
        <v>914</v>
      </c>
      <c r="Q150" s="2" t="s">
        <v>60</v>
      </c>
      <c r="R150" s="2" t="s">
        <v>36</v>
      </c>
      <c r="S150" s="2">
        <v>0</v>
      </c>
    </row>
    <row r="151" spans="1:19" s="2" customFormat="1" x14ac:dyDescent="0.25">
      <c r="A151" s="2" t="s">
        <v>1064</v>
      </c>
      <c r="B151" s="2" t="s">
        <v>1065</v>
      </c>
      <c r="C151" s="2" t="s">
        <v>1051</v>
      </c>
      <c r="D151" s="2" t="s">
        <v>122</v>
      </c>
      <c r="E151" s="2" t="s">
        <v>374</v>
      </c>
      <c r="F151" s="2" t="s">
        <v>94</v>
      </c>
      <c r="G151" s="2" t="s">
        <v>1066</v>
      </c>
      <c r="H151" s="4" t="s">
        <v>1067</v>
      </c>
      <c r="I151" s="4" t="s">
        <v>1068</v>
      </c>
      <c r="J151" s="4" t="s">
        <v>1069</v>
      </c>
      <c r="K151" s="2" t="s">
        <v>29</v>
      </c>
      <c r="L151" s="2" t="s">
        <v>285</v>
      </c>
      <c r="M151" s="4" t="s">
        <v>1070</v>
      </c>
      <c r="N151" s="2" t="s">
        <v>29</v>
      </c>
      <c r="O151" s="4" t="s">
        <v>29</v>
      </c>
      <c r="P151" s="4" t="s">
        <v>1071</v>
      </c>
      <c r="Q151" s="8" t="s">
        <v>278</v>
      </c>
      <c r="R151" s="2" t="s">
        <v>36</v>
      </c>
      <c r="S151" s="2">
        <v>0</v>
      </c>
    </row>
    <row r="152" spans="1:19" s="2" customFormat="1" x14ac:dyDescent="0.25">
      <c r="A152" s="2" t="s">
        <v>1072</v>
      </c>
      <c r="B152" s="2" t="s">
        <v>1065</v>
      </c>
      <c r="C152" s="2" t="s">
        <v>1051</v>
      </c>
      <c r="D152" s="2" t="s">
        <v>122</v>
      </c>
      <c r="E152" s="2" t="s">
        <v>374</v>
      </c>
      <c r="F152" s="2" t="s">
        <v>94</v>
      </c>
      <c r="G152" s="2" t="s">
        <v>1073</v>
      </c>
      <c r="H152" s="4" t="s">
        <v>1074</v>
      </c>
      <c r="I152" s="4" t="s">
        <v>1068</v>
      </c>
      <c r="J152" s="4" t="s">
        <v>1069</v>
      </c>
      <c r="K152" s="2" t="s">
        <v>1064</v>
      </c>
      <c r="L152" s="2" t="s">
        <v>285</v>
      </c>
      <c r="M152" s="4" t="s">
        <v>1070</v>
      </c>
      <c r="N152" s="2" t="s">
        <v>29</v>
      </c>
      <c r="O152" s="4" t="s">
        <v>29</v>
      </c>
      <c r="P152" s="4" t="s">
        <v>1071</v>
      </c>
      <c r="Q152" s="8" t="s">
        <v>278</v>
      </c>
      <c r="R152" s="2" t="s">
        <v>36</v>
      </c>
      <c r="S152" s="2">
        <v>0</v>
      </c>
    </row>
    <row r="153" spans="1:19" s="2" customFormat="1" x14ac:dyDescent="0.25">
      <c r="A153" s="2" t="s">
        <v>1075</v>
      </c>
      <c r="B153" s="2" t="s">
        <v>1065</v>
      </c>
      <c r="C153" s="2" t="s">
        <v>1051</v>
      </c>
      <c r="D153" s="2" t="s">
        <v>122</v>
      </c>
      <c r="E153" s="2" t="s">
        <v>53</v>
      </c>
      <c r="F153" s="2" t="s">
        <v>94</v>
      </c>
      <c r="G153" s="2" t="s">
        <v>1076</v>
      </c>
      <c r="H153" s="4" t="s">
        <v>1077</v>
      </c>
      <c r="I153" s="4" t="s">
        <v>1068</v>
      </c>
      <c r="J153" s="4" t="s">
        <v>56</v>
      </c>
      <c r="K153" s="2" t="s">
        <v>1078</v>
      </c>
      <c r="L153" s="2" t="s">
        <v>30</v>
      </c>
      <c r="M153" s="4" t="s">
        <v>58</v>
      </c>
      <c r="N153" s="2" t="s">
        <v>29</v>
      </c>
      <c r="O153" s="4" t="s">
        <v>29</v>
      </c>
      <c r="P153" s="4" t="s">
        <v>1071</v>
      </c>
      <c r="Q153" s="2" t="s">
        <v>60</v>
      </c>
      <c r="R153" s="2" t="s">
        <v>36</v>
      </c>
      <c r="S153" s="2">
        <v>0</v>
      </c>
    </row>
    <row r="154" spans="1:19" s="2" customFormat="1" x14ac:dyDescent="0.25">
      <c r="A154" s="2" t="s">
        <v>1079</v>
      </c>
      <c r="B154" s="2" t="s">
        <v>1080</v>
      </c>
      <c r="C154" s="2" t="s">
        <v>1051</v>
      </c>
      <c r="D154" s="2" t="s">
        <v>122</v>
      </c>
      <c r="E154" s="2" t="s">
        <v>374</v>
      </c>
      <c r="F154" s="2" t="s">
        <v>73</v>
      </c>
      <c r="G154" s="2" t="s">
        <v>1081</v>
      </c>
      <c r="H154" s="4" t="s">
        <v>1082</v>
      </c>
      <c r="I154" s="4" t="s">
        <v>1083</v>
      </c>
      <c r="J154" s="4" t="s">
        <v>1084</v>
      </c>
      <c r="K154" s="2" t="s">
        <v>29</v>
      </c>
      <c r="L154" s="2" t="s">
        <v>285</v>
      </c>
      <c r="M154" s="4" t="s">
        <v>1085</v>
      </c>
      <c r="N154" s="2" t="s">
        <v>29</v>
      </c>
      <c r="O154" s="4" t="s">
        <v>29</v>
      </c>
      <c r="P154" s="4" t="s">
        <v>1086</v>
      </c>
      <c r="Q154" s="6" t="s">
        <v>35</v>
      </c>
      <c r="R154" s="9" t="s">
        <v>710</v>
      </c>
      <c r="S154" s="2">
        <v>0</v>
      </c>
    </row>
    <row r="155" spans="1:19" s="2" customFormat="1" x14ac:dyDescent="0.25">
      <c r="A155" s="2" t="s">
        <v>1087</v>
      </c>
      <c r="B155" s="2" t="s">
        <v>1080</v>
      </c>
      <c r="C155" s="2" t="s">
        <v>1051</v>
      </c>
      <c r="D155" s="2" t="s">
        <v>122</v>
      </c>
      <c r="E155" s="2" t="s">
        <v>374</v>
      </c>
      <c r="F155" s="2" t="s">
        <v>73</v>
      </c>
      <c r="G155" s="2" t="s">
        <v>1088</v>
      </c>
      <c r="H155" s="4" t="s">
        <v>1089</v>
      </c>
      <c r="I155" s="4" t="s">
        <v>1083</v>
      </c>
      <c r="J155" s="4" t="s">
        <v>1084</v>
      </c>
      <c r="K155" s="2" t="s">
        <v>1079</v>
      </c>
      <c r="L155" s="2" t="s">
        <v>285</v>
      </c>
      <c r="M155" s="4" t="s">
        <v>1085</v>
      </c>
      <c r="N155" s="2" t="s">
        <v>29</v>
      </c>
      <c r="O155" s="4" t="s">
        <v>29</v>
      </c>
      <c r="P155" s="4" t="s">
        <v>1086</v>
      </c>
      <c r="Q155" s="6" t="s">
        <v>35</v>
      </c>
      <c r="R155" s="9" t="s">
        <v>710</v>
      </c>
      <c r="S155" s="2">
        <v>0</v>
      </c>
    </row>
    <row r="156" spans="1:19" s="2" customFormat="1" x14ac:dyDescent="0.25">
      <c r="A156" s="2" t="s">
        <v>1090</v>
      </c>
      <c r="B156" s="2" t="s">
        <v>1080</v>
      </c>
      <c r="C156" s="2" t="s">
        <v>1051</v>
      </c>
      <c r="D156" s="2" t="s">
        <v>122</v>
      </c>
      <c r="E156" s="2" t="s">
        <v>53</v>
      </c>
      <c r="F156" s="2" t="s">
        <v>73</v>
      </c>
      <c r="G156" s="2" t="s">
        <v>1091</v>
      </c>
      <c r="H156" s="4" t="s">
        <v>1092</v>
      </c>
      <c r="I156" s="4" t="s">
        <v>1083</v>
      </c>
      <c r="J156" s="4" t="s">
        <v>56</v>
      </c>
      <c r="K156" s="2" t="s">
        <v>1093</v>
      </c>
      <c r="L156" s="2" t="s">
        <v>30</v>
      </c>
      <c r="M156" s="4" t="s">
        <v>58</v>
      </c>
      <c r="N156" s="2" t="s">
        <v>29</v>
      </c>
      <c r="O156" s="4" t="s">
        <v>29</v>
      </c>
      <c r="P156" s="4" t="s">
        <v>1086</v>
      </c>
      <c r="Q156" s="2" t="s">
        <v>60</v>
      </c>
      <c r="R156" s="2" t="s">
        <v>36</v>
      </c>
      <c r="S156" s="2">
        <v>0</v>
      </c>
    </row>
    <row r="157" spans="1:19" s="2" customFormat="1" x14ac:dyDescent="0.25">
      <c r="A157" s="2" t="s">
        <v>1094</v>
      </c>
      <c r="B157" s="2" t="s">
        <v>1095</v>
      </c>
      <c r="C157" s="2" t="s">
        <v>1051</v>
      </c>
      <c r="D157" s="2" t="s">
        <v>122</v>
      </c>
      <c r="E157" s="2" t="s">
        <v>374</v>
      </c>
      <c r="F157" s="2" t="s">
        <v>94</v>
      </c>
      <c r="G157" s="2" t="s">
        <v>1096</v>
      </c>
      <c r="H157" s="4" t="s">
        <v>1097</v>
      </c>
      <c r="I157" s="4" t="s">
        <v>1098</v>
      </c>
      <c r="J157" s="4" t="s">
        <v>1099</v>
      </c>
      <c r="K157" s="2" t="s">
        <v>29</v>
      </c>
      <c r="L157" s="2" t="s">
        <v>285</v>
      </c>
      <c r="M157" s="4" t="s">
        <v>1100</v>
      </c>
      <c r="N157" s="2" t="s">
        <v>29</v>
      </c>
      <c r="O157" s="4" t="s">
        <v>29</v>
      </c>
      <c r="P157" s="4" t="s">
        <v>1101</v>
      </c>
      <c r="Q157" s="2" t="s">
        <v>60</v>
      </c>
      <c r="R157" s="2" t="s">
        <v>36</v>
      </c>
      <c r="S157" s="2">
        <v>0</v>
      </c>
    </row>
    <row r="158" spans="1:19" s="2" customFormat="1" x14ac:dyDescent="0.25">
      <c r="A158" s="2" t="s">
        <v>1102</v>
      </c>
      <c r="B158" s="2" t="s">
        <v>1095</v>
      </c>
      <c r="C158" s="2" t="s">
        <v>1051</v>
      </c>
      <c r="D158" s="2" t="s">
        <v>122</v>
      </c>
      <c r="E158" s="2" t="s">
        <v>374</v>
      </c>
      <c r="F158" s="2" t="s">
        <v>94</v>
      </c>
      <c r="G158" s="2" t="s">
        <v>1103</v>
      </c>
      <c r="H158" s="4" t="s">
        <v>1104</v>
      </c>
      <c r="I158" s="4" t="s">
        <v>1098</v>
      </c>
      <c r="J158" s="4" t="s">
        <v>1099</v>
      </c>
      <c r="K158" s="2" t="s">
        <v>1094</v>
      </c>
      <c r="L158" s="2" t="s">
        <v>285</v>
      </c>
      <c r="M158" s="4" t="s">
        <v>1100</v>
      </c>
      <c r="N158" s="2" t="s">
        <v>29</v>
      </c>
      <c r="O158" s="4" t="s">
        <v>29</v>
      </c>
      <c r="P158" s="4" t="s">
        <v>1101</v>
      </c>
      <c r="Q158" s="2" t="s">
        <v>60</v>
      </c>
      <c r="R158" s="2" t="s">
        <v>36</v>
      </c>
      <c r="S158" s="2">
        <v>0</v>
      </c>
    </row>
    <row r="159" spans="1:19" s="2" customFormat="1" x14ac:dyDescent="0.25">
      <c r="A159" s="2" t="s">
        <v>1105</v>
      </c>
      <c r="B159" s="2" t="s">
        <v>1095</v>
      </c>
      <c r="C159" s="2" t="s">
        <v>1051</v>
      </c>
      <c r="D159" s="2" t="s">
        <v>122</v>
      </c>
      <c r="E159" s="2" t="s">
        <v>53</v>
      </c>
      <c r="F159" s="2" t="s">
        <v>94</v>
      </c>
      <c r="G159" s="2" t="s">
        <v>1106</v>
      </c>
      <c r="H159" s="4" t="s">
        <v>1107</v>
      </c>
      <c r="I159" s="4" t="s">
        <v>1098</v>
      </c>
      <c r="J159" s="4" t="s">
        <v>56</v>
      </c>
      <c r="K159" s="2" t="s">
        <v>1108</v>
      </c>
      <c r="L159" s="2" t="s">
        <v>30</v>
      </c>
      <c r="M159" s="4" t="s">
        <v>58</v>
      </c>
      <c r="N159" s="2" t="s">
        <v>29</v>
      </c>
      <c r="O159" s="4" t="s">
        <v>29</v>
      </c>
      <c r="P159" s="4" t="s">
        <v>1101</v>
      </c>
      <c r="Q159" s="2" t="s">
        <v>60</v>
      </c>
      <c r="R159" s="2" t="s">
        <v>36</v>
      </c>
      <c r="S159" s="2">
        <v>0</v>
      </c>
    </row>
    <row r="160" spans="1:19" s="2" customFormat="1" x14ac:dyDescent="0.25">
      <c r="A160" s="2" t="s">
        <v>1109</v>
      </c>
      <c r="B160" s="2" t="s">
        <v>1110</v>
      </c>
      <c r="C160" s="2" t="s">
        <v>1051</v>
      </c>
      <c r="D160" s="2" t="s">
        <v>122</v>
      </c>
      <c r="E160" s="2" t="s">
        <v>374</v>
      </c>
      <c r="F160" s="2" t="s">
        <v>83</v>
      </c>
      <c r="G160" s="2" t="s">
        <v>1111</v>
      </c>
      <c r="H160" s="4" t="s">
        <v>1112</v>
      </c>
      <c r="I160" s="4" t="s">
        <v>1113</v>
      </c>
      <c r="J160" s="4" t="s">
        <v>1114</v>
      </c>
      <c r="K160" s="2" t="s">
        <v>29</v>
      </c>
      <c r="L160" s="2" t="s">
        <v>44</v>
      </c>
      <c r="M160" s="4" t="s">
        <v>1115</v>
      </c>
      <c r="N160" s="2" t="s">
        <v>29</v>
      </c>
      <c r="O160" s="4" t="s">
        <v>29</v>
      </c>
      <c r="P160" s="4" t="s">
        <v>1116</v>
      </c>
      <c r="Q160" s="6" t="s">
        <v>35</v>
      </c>
      <c r="R160" s="9" t="s">
        <v>710</v>
      </c>
      <c r="S160" s="2">
        <v>0</v>
      </c>
    </row>
    <row r="161" spans="1:19" s="2" customFormat="1" x14ac:dyDescent="0.25">
      <c r="A161" s="2" t="s">
        <v>1117</v>
      </c>
      <c r="B161" s="2" t="s">
        <v>1110</v>
      </c>
      <c r="C161" s="2" t="s">
        <v>1051</v>
      </c>
      <c r="D161" s="2" t="s">
        <v>122</v>
      </c>
      <c r="E161" s="2" t="s">
        <v>374</v>
      </c>
      <c r="F161" s="2" t="s">
        <v>83</v>
      </c>
      <c r="G161" s="2" t="s">
        <v>1118</v>
      </c>
      <c r="H161" s="4" t="s">
        <v>1119</v>
      </c>
      <c r="I161" s="4" t="s">
        <v>1113</v>
      </c>
      <c r="J161" s="4" t="s">
        <v>1114</v>
      </c>
      <c r="K161" s="2" t="s">
        <v>1109</v>
      </c>
      <c r="L161" s="2" t="s">
        <v>44</v>
      </c>
      <c r="M161" s="4" t="s">
        <v>1115</v>
      </c>
      <c r="N161" s="2" t="s">
        <v>29</v>
      </c>
      <c r="O161" s="4" t="s">
        <v>29</v>
      </c>
      <c r="P161" s="4" t="s">
        <v>1116</v>
      </c>
      <c r="Q161" s="6" t="s">
        <v>35</v>
      </c>
      <c r="R161" s="9" t="s">
        <v>710</v>
      </c>
      <c r="S161" s="2">
        <v>0</v>
      </c>
    </row>
    <row r="162" spans="1:19" s="2" customFormat="1" x14ac:dyDescent="0.25">
      <c r="A162" s="2" t="s">
        <v>1120</v>
      </c>
      <c r="B162" s="2" t="s">
        <v>1110</v>
      </c>
      <c r="C162" s="2" t="s">
        <v>1051</v>
      </c>
      <c r="D162" s="2" t="s">
        <v>122</v>
      </c>
      <c r="E162" s="2" t="s">
        <v>53</v>
      </c>
      <c r="F162" s="2" t="s">
        <v>83</v>
      </c>
      <c r="G162" s="2" t="s">
        <v>1121</v>
      </c>
      <c r="H162" s="4" t="s">
        <v>1122</v>
      </c>
      <c r="I162" s="4" t="s">
        <v>1113</v>
      </c>
      <c r="J162" s="4" t="s">
        <v>56</v>
      </c>
      <c r="K162" s="2" t="s">
        <v>1123</v>
      </c>
      <c r="L162" s="2" t="s">
        <v>30</v>
      </c>
      <c r="M162" s="4" t="s">
        <v>58</v>
      </c>
      <c r="N162" s="2" t="s">
        <v>29</v>
      </c>
      <c r="O162" s="4" t="s">
        <v>29</v>
      </c>
      <c r="P162" s="4" t="s">
        <v>1116</v>
      </c>
      <c r="Q162" s="2" t="s">
        <v>60</v>
      </c>
      <c r="R162" s="2" t="s">
        <v>36</v>
      </c>
      <c r="S162" s="2">
        <v>0</v>
      </c>
    </row>
    <row r="163" spans="1:19" s="2" customFormat="1" x14ac:dyDescent="0.25">
      <c r="A163" s="2" t="s">
        <v>1124</v>
      </c>
      <c r="B163" s="2" t="s">
        <v>1125</v>
      </c>
      <c r="C163" s="2" t="s">
        <v>1051</v>
      </c>
      <c r="D163" s="2" t="s">
        <v>122</v>
      </c>
      <c r="E163" s="2" t="s">
        <v>374</v>
      </c>
      <c r="F163" s="2" t="s">
        <v>73</v>
      </c>
      <c r="G163" s="2" t="s">
        <v>1126</v>
      </c>
      <c r="H163" s="4" t="s">
        <v>1127</v>
      </c>
      <c r="I163" s="4" t="s">
        <v>1128</v>
      </c>
      <c r="J163" s="4" t="s">
        <v>1129</v>
      </c>
      <c r="K163" s="2" t="s">
        <v>29</v>
      </c>
      <c r="L163" s="2" t="s">
        <v>44</v>
      </c>
      <c r="M163" s="4" t="s">
        <v>1130</v>
      </c>
      <c r="N163" s="2" t="s">
        <v>29</v>
      </c>
      <c r="O163" s="4" t="s">
        <v>29</v>
      </c>
      <c r="P163" s="4" t="s">
        <v>1131</v>
      </c>
      <c r="Q163" s="8" t="s">
        <v>278</v>
      </c>
      <c r="R163" s="2" t="s">
        <v>36</v>
      </c>
      <c r="S163" s="2">
        <v>0</v>
      </c>
    </row>
    <row r="164" spans="1:19" s="2" customFormat="1" x14ac:dyDescent="0.25">
      <c r="A164" s="2" t="s">
        <v>1132</v>
      </c>
      <c r="B164" s="2" t="s">
        <v>1133</v>
      </c>
      <c r="C164" s="2" t="s">
        <v>1051</v>
      </c>
      <c r="D164" s="2" t="s">
        <v>122</v>
      </c>
      <c r="E164" s="2" t="s">
        <v>374</v>
      </c>
      <c r="F164" s="2" t="s">
        <v>73</v>
      </c>
      <c r="G164" s="2" t="s">
        <v>1134</v>
      </c>
      <c r="H164" s="4" t="s">
        <v>1135</v>
      </c>
      <c r="I164" s="4" t="s">
        <v>1136</v>
      </c>
      <c r="J164" s="4" t="s">
        <v>1137</v>
      </c>
      <c r="K164" s="2" t="s">
        <v>29</v>
      </c>
      <c r="L164" s="2" t="s">
        <v>285</v>
      </c>
      <c r="M164" s="4" t="s">
        <v>1138</v>
      </c>
      <c r="N164" s="2" t="s">
        <v>29</v>
      </c>
      <c r="O164" s="4" t="s">
        <v>29</v>
      </c>
      <c r="P164" s="4" t="s">
        <v>1139</v>
      </c>
      <c r="Q164" s="6" t="s">
        <v>35</v>
      </c>
      <c r="R164" s="9" t="s">
        <v>710</v>
      </c>
      <c r="S164" s="2">
        <v>0</v>
      </c>
    </row>
    <row r="165" spans="1:19" s="2" customFormat="1" x14ac:dyDescent="0.25">
      <c r="A165" s="2" t="s">
        <v>1140</v>
      </c>
      <c r="B165" s="2" t="s">
        <v>1133</v>
      </c>
      <c r="C165" s="2" t="s">
        <v>1051</v>
      </c>
      <c r="D165" s="2" t="s">
        <v>122</v>
      </c>
      <c r="E165" s="2" t="s">
        <v>374</v>
      </c>
      <c r="F165" s="2" t="s">
        <v>73</v>
      </c>
      <c r="G165" s="2" t="s">
        <v>1141</v>
      </c>
      <c r="H165" s="4" t="s">
        <v>1142</v>
      </c>
      <c r="I165" s="4" t="s">
        <v>1136</v>
      </c>
      <c r="J165" s="4" t="s">
        <v>1137</v>
      </c>
      <c r="K165" s="2" t="s">
        <v>1132</v>
      </c>
      <c r="L165" s="2" t="s">
        <v>285</v>
      </c>
      <c r="M165" s="4" t="s">
        <v>1138</v>
      </c>
      <c r="N165" s="2" t="s">
        <v>29</v>
      </c>
      <c r="O165" s="4" t="s">
        <v>29</v>
      </c>
      <c r="P165" s="4" t="s">
        <v>1139</v>
      </c>
      <c r="Q165" s="6" t="s">
        <v>35</v>
      </c>
      <c r="R165" s="9" t="s">
        <v>710</v>
      </c>
      <c r="S165" s="2">
        <v>0</v>
      </c>
    </row>
    <row r="166" spans="1:19" s="2" customFormat="1" x14ac:dyDescent="0.25">
      <c r="A166" s="2" t="s">
        <v>1143</v>
      </c>
      <c r="B166" s="2" t="s">
        <v>1133</v>
      </c>
      <c r="C166" s="2" t="s">
        <v>1051</v>
      </c>
      <c r="D166" s="2" t="s">
        <v>122</v>
      </c>
      <c r="E166" s="2" t="s">
        <v>53</v>
      </c>
      <c r="F166" s="2" t="s">
        <v>73</v>
      </c>
      <c r="G166" s="2" t="s">
        <v>1144</v>
      </c>
      <c r="H166" s="4" t="s">
        <v>1145</v>
      </c>
      <c r="I166" s="4" t="s">
        <v>1136</v>
      </c>
      <c r="J166" s="4" t="s">
        <v>56</v>
      </c>
      <c r="K166" s="2" t="s">
        <v>1146</v>
      </c>
      <c r="L166" s="2" t="s">
        <v>30</v>
      </c>
      <c r="M166" s="4" t="s">
        <v>58</v>
      </c>
      <c r="N166" s="2" t="s">
        <v>29</v>
      </c>
      <c r="O166" s="4" t="s">
        <v>29</v>
      </c>
      <c r="P166" s="4" t="s">
        <v>1139</v>
      </c>
      <c r="Q166" s="2" t="s">
        <v>60</v>
      </c>
      <c r="R166" s="2" t="s">
        <v>36</v>
      </c>
      <c r="S166" s="2">
        <v>0</v>
      </c>
    </row>
    <row r="167" spans="1:19" s="2" customFormat="1" x14ac:dyDescent="0.25">
      <c r="A167" s="2" t="s">
        <v>1147</v>
      </c>
      <c r="B167" s="2" t="s">
        <v>1148</v>
      </c>
      <c r="C167" s="2" t="s">
        <v>1051</v>
      </c>
      <c r="D167" s="2" t="s">
        <v>122</v>
      </c>
      <c r="E167" s="2" t="s">
        <v>374</v>
      </c>
      <c r="F167" s="2" t="s">
        <v>94</v>
      </c>
      <c r="G167" s="2" t="s">
        <v>1149</v>
      </c>
      <c r="H167" s="4" t="s">
        <v>1150</v>
      </c>
      <c r="I167" s="4" t="s">
        <v>1151</v>
      </c>
      <c r="J167" s="4" t="s">
        <v>1152</v>
      </c>
      <c r="K167" s="2" t="s">
        <v>29</v>
      </c>
      <c r="L167" s="2" t="s">
        <v>44</v>
      </c>
      <c r="M167" s="4" t="s">
        <v>1153</v>
      </c>
      <c r="N167" s="2" t="s">
        <v>29</v>
      </c>
      <c r="O167" s="4" t="s">
        <v>29</v>
      </c>
      <c r="P167" s="4" t="s">
        <v>1154</v>
      </c>
      <c r="Q167" s="2" t="s">
        <v>60</v>
      </c>
      <c r="R167" s="2" t="s">
        <v>36</v>
      </c>
      <c r="S167" s="2">
        <v>0</v>
      </c>
    </row>
    <row r="168" spans="1:19" s="2" customFormat="1" x14ac:dyDescent="0.25">
      <c r="A168" s="2" t="s">
        <v>1155</v>
      </c>
      <c r="B168" s="2" t="s">
        <v>1156</v>
      </c>
      <c r="C168" s="2" t="s">
        <v>1051</v>
      </c>
      <c r="D168" s="2" t="s">
        <v>122</v>
      </c>
      <c r="E168" s="2" t="s">
        <v>374</v>
      </c>
      <c r="F168" s="2" t="s">
        <v>83</v>
      </c>
      <c r="G168" s="2" t="s">
        <v>1157</v>
      </c>
      <c r="H168" s="4" t="s">
        <v>1158</v>
      </c>
      <c r="I168" s="4" t="s">
        <v>1159</v>
      </c>
      <c r="J168" s="4" t="s">
        <v>1160</v>
      </c>
      <c r="K168" s="2" t="s">
        <v>29</v>
      </c>
      <c r="L168" s="2" t="s">
        <v>44</v>
      </c>
      <c r="M168" s="4" t="s">
        <v>1161</v>
      </c>
      <c r="N168" s="2" t="s">
        <v>29</v>
      </c>
      <c r="O168" s="4" t="s">
        <v>29</v>
      </c>
      <c r="P168" s="4" t="s">
        <v>1162</v>
      </c>
      <c r="Q168" s="8" t="s">
        <v>278</v>
      </c>
      <c r="R168" s="2" t="s">
        <v>36</v>
      </c>
      <c r="S168" s="2">
        <v>0</v>
      </c>
    </row>
  </sheetData>
  <autoFilter ref="A1:S168"/>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FormatPr defaultRowHeight="15" outlineLevelRow="0" outlineLevelCol="0" x14ac:dyDescent="55"/>
  <cols>
    <col min="1" max="1" width="28" customWidth="1"/>
    <col min="2" max="4" width="14" customWidth="1"/>
  </cols>
  <sheetData>
    <row r="1" spans="1:1" s="10" customFormat="1" x14ac:dyDescent="0.25">
      <c r="A1" s="10" t="s">
        <v>1163</v>
      </c>
    </row>
    <row r="2" spans="1:1" s="11" customFormat="1" x14ac:dyDescent="0.25">
      <c r="A2" s="11" t="s">
        <v>1164</v>
      </c>
    </row>
    <row r="4" spans="1:2" x14ac:dyDescent="0.25">
      <c r="A4" t="s">
        <v>1165</v>
      </c>
      <c r="B4">
        <f>COUNTA(Tasks!$A$2:$A$168)</f>
      </c>
    </row>
    <row r="5" spans="1:2" x14ac:dyDescent="0.25">
      <c r="A5" t="s">
        <v>1166</v>
      </c>
      <c r="B5">
        <f>COUNTIF(Tasks!$N$2:$N$168,"YES")</f>
      </c>
    </row>
    <row r="6" spans="1:2" x14ac:dyDescent="0.25">
      <c r="A6" t="s">
        <v>1167</v>
      </c>
      <c r="B6">
        <f>COUNTIF(Tasks!$N$2:$N$168,"BLOCKED")</f>
      </c>
    </row>
    <row r="7" spans="1:2" x14ac:dyDescent="0.25">
      <c r="A7" t="s">
        <v>1168</v>
      </c>
      <c r="B7">
        <f>COUNTIFS(Tasks!$R$2:$R$168,"On-Hold",Tasks!$N$2:$N$168,"&lt;&gt;YES")</f>
      </c>
    </row>
    <row r="8" spans="1:2" s="12" customFormat="1" x14ac:dyDescent="0.25">
      <c r="A8" s="12" t="s">
        <v>1169</v>
      </c>
      <c r="B8" s="13">
        <f>IF(COUNTA(Tasks!$A$2:$A$168)=0,0,COUNTIF(Tasks!$N$2:$N$168,"YES")/COUNTA(Tasks!$A$2:$A$168))</f>
      </c>
    </row>
    <row r="9" spans="1:2" s="12" customFormat="1" x14ac:dyDescent="0.25">
      <c r="A9" s="12" t="s">
        <v>1170</v>
      </c>
      <c r="B9" s="14">
        <f>SUM(Tasks!$S$2:$S$168)</f>
      </c>
    </row>
    <row r="11" spans="1:4" s="15" customFormat="1" x14ac:dyDescent="0.25">
      <c r="A11" s="15" t="s">
        <v>1171</v>
      </c>
      <c r="B11" s="15" t="s">
        <v>1172</v>
      </c>
      <c r="C11" s="15" t="s">
        <v>1173</v>
      </c>
      <c r="D11" s="15" t="s">
        <v>1169</v>
      </c>
    </row>
    <row r="12" spans="1:4" x14ac:dyDescent="0.25">
      <c r="A12" t="s">
        <v>21</v>
      </c>
      <c r="B12">
        <f>COUNTIF(Tasks!$C$2:$C$168,"v0.2")</f>
      </c>
      <c r="C12">
        <f>COUNTIFS(Tasks!$C$2:$C$168,"v0.2",Tasks!$N$2:$N$168,"YES")</f>
      </c>
      <c r="D12" s="16">
        <f>IF(COUNTIF(Tasks!$C$2:$C$168,"v0.2")=0,0,COUNTIFS(Tasks!$C$2:$C$168,"v0.2",Tasks!$N$2:$N$168,"YES")/COUNTIF(Tasks!$C$2:$C$168,"v0.2"))</f>
      </c>
    </row>
    <row r="13" spans="1:4" x14ac:dyDescent="0.25">
      <c r="A13" t="s">
        <v>270</v>
      </c>
      <c r="B13">
        <f>COUNTIF(Tasks!$C$2:$C$168,"v0.3")</f>
      </c>
      <c r="C13">
        <f>COUNTIFS(Tasks!$C$2:$C$168,"v0.3",Tasks!$N$2:$N$168,"YES")</f>
      </c>
      <c r="D13" s="16">
        <f>IF(COUNTIF(Tasks!$C$2:$C$168,"v0.3")=0,0,COUNTIFS(Tasks!$C$2:$C$168,"v0.3",Tasks!$N$2:$N$168,"YES")/COUNTIF(Tasks!$C$2:$C$168,"v0.3"))</f>
      </c>
    </row>
    <row r="14" spans="1:4" x14ac:dyDescent="0.25">
      <c r="A14" t="s">
        <v>536</v>
      </c>
      <c r="B14">
        <f>COUNTIF(Tasks!$C$2:$C$168,"v0.4")</f>
      </c>
      <c r="C14">
        <f>COUNTIFS(Tasks!$C$2:$C$168,"v0.4",Tasks!$N$2:$N$168,"YES")</f>
      </c>
      <c r="D14" s="16">
        <f>IF(COUNTIF(Tasks!$C$2:$C$168,"v0.4")=0,0,COUNTIFS(Tasks!$C$2:$C$168,"v0.4",Tasks!$N$2:$N$168,"YES")/COUNTIF(Tasks!$C$2:$C$168,"v0.4"))</f>
      </c>
    </row>
    <row r="15" spans="1:4" x14ac:dyDescent="0.25">
      <c r="A15" t="s">
        <v>1051</v>
      </c>
      <c r="B15">
        <f>COUNTIF(Tasks!$C$2:$C$168,"v0.5")</f>
      </c>
      <c r="C15">
        <f>COUNTIFS(Tasks!$C$2:$C$168,"v0.5",Tasks!$N$2:$N$168,"YES")</f>
      </c>
      <c r="D15" s="16">
        <f>IF(COUNTIF(Tasks!$C$2:$C$168,"v0.5")=0,0,COUNTIFS(Tasks!$C$2:$C$168,"v0.5",Tasks!$N$2:$N$168,"YES")/COUNTIF(Tasks!$C$2:$C$168,"v0.5"))</f>
      </c>
    </row>
    <row r="17" spans="1:4" s="15" customFormat="1" x14ac:dyDescent="0.25">
      <c r="A17" s="15" t="s">
        <v>1174</v>
      </c>
      <c r="B17" s="15" t="s">
        <v>1172</v>
      </c>
      <c r="C17" s="15" t="s">
        <v>1173</v>
      </c>
      <c r="D17" s="15" t="s">
        <v>1169</v>
      </c>
    </row>
    <row r="18" spans="1:4" x14ac:dyDescent="0.25">
      <c r="A18" t="s">
        <v>22</v>
      </c>
      <c r="B18">
        <f>COUNTIF(Tasks!$D$2:$D$168,"P0")</f>
      </c>
      <c r="C18">
        <f>COUNTIFS(Tasks!$D$2:$D$168,"P0",Tasks!$N$2:$N$168,"YES")</f>
      </c>
      <c r="D18" s="16">
        <f>IF(COUNTIF(Tasks!$D$2:$D$168,"P0")=0,0,COUNTIFS(Tasks!$D$2:$D$168,"P0",Tasks!$N$2:$N$168,"YES")/COUNTIF(Tasks!$D$2:$D$168,"P0"))</f>
      </c>
    </row>
    <row r="19" spans="1:4" x14ac:dyDescent="0.25">
      <c r="A19" t="s">
        <v>72</v>
      </c>
      <c r="B19">
        <f>COUNTIF(Tasks!$D$2:$D$168,"P1")</f>
      </c>
      <c r="C19">
        <f>COUNTIFS(Tasks!$D$2:$D$168,"P1",Tasks!$N$2:$N$168,"YES")</f>
      </c>
      <c r="D19" s="16">
        <f>IF(COUNTIF(Tasks!$D$2:$D$168,"P1")=0,0,COUNTIFS(Tasks!$D$2:$D$168,"P1",Tasks!$N$2:$N$168,"YES")/COUNTIF(Tasks!$D$2:$D$168,"P1"))</f>
      </c>
    </row>
    <row r="20" spans="1:4" x14ac:dyDescent="0.25">
      <c r="A20" t="s">
        <v>122</v>
      </c>
      <c r="B20">
        <f>COUNTIF(Tasks!$D$2:$D$168,"P2")</f>
      </c>
      <c r="C20">
        <f>COUNTIFS(Tasks!$D$2:$D$168,"P2",Tasks!$N$2:$N$168,"YES")</f>
      </c>
      <c r="D20" s="16">
        <f>IF(COUNTIF(Tasks!$D$2:$D$168,"P2")=0,0,COUNTIFS(Tasks!$D$2:$D$168,"P2",Tasks!$N$2:$N$168,"YES")/COUNTIF(Tasks!$D$2:$D$168,"P2"))</f>
      </c>
    </row>
    <row r="22" spans="1:4" s="15" customFormat="1" x14ac:dyDescent="0.25">
      <c r="A22" s="15" t="s">
        <v>1175</v>
      </c>
      <c r="B22" s="15" t="s">
        <v>1172</v>
      </c>
      <c r="C22" s="15" t="s">
        <v>1173</v>
      </c>
      <c r="D22" s="15" t="s">
        <v>1169</v>
      </c>
    </row>
    <row r="23" spans="1:4" x14ac:dyDescent="0.25">
      <c r="A23" t="s">
        <v>23</v>
      </c>
      <c r="B23">
        <f>COUNTIF(Tasks!$E$2:$E$168,"Bug")</f>
      </c>
      <c r="C23">
        <f>COUNTIFS(Tasks!$E$2:$E$168,"Bug",Tasks!$N$2:$N$168,"YES")</f>
      </c>
      <c r="D23" s="16">
        <f>IF(COUNTIF(Tasks!$E$2:$E$168,"Bug")=0,0,COUNTIFS(Tasks!$E$2:$E$168,"Bug",Tasks!$N$2:$N$168,"YES")/COUNTIF(Tasks!$E$2:$E$168,"Bug"))</f>
      </c>
    </row>
    <row r="24" spans="1:4" x14ac:dyDescent="0.25">
      <c r="A24" t="s">
        <v>93</v>
      </c>
      <c r="B24">
        <f>COUNTIF(Tasks!$E$2:$E$168,"Improvement")</f>
      </c>
      <c r="C24">
        <f>COUNTIFS(Tasks!$E$2:$E$168,"Improvement",Tasks!$N$2:$N$168,"YES")</f>
      </c>
      <c r="D24" s="16">
        <f>IF(COUNTIF(Tasks!$E$2:$E$168,"Improvement")=0,0,COUNTIFS(Tasks!$E$2:$E$168,"Improvement",Tasks!$N$2:$N$168,"YES")/COUNTIF(Tasks!$E$2:$E$168,"Improvement"))</f>
      </c>
    </row>
    <row r="25" spans="1:4" x14ac:dyDescent="0.25">
      <c r="A25" t="s">
        <v>318</v>
      </c>
      <c r="B25">
        <f>COUNTIF(Tasks!$E$2:$E$168,"Missing feature")</f>
      </c>
      <c r="C25">
        <f>COUNTIFS(Tasks!$E$2:$E$168,"Missing feature",Tasks!$N$2:$N$168,"YES")</f>
      </c>
      <c r="D25" s="16">
        <f>IF(COUNTIF(Tasks!$E$2:$E$168,"Missing feature")=0,0,COUNTIFS(Tasks!$E$2:$E$168,"Missing feature",Tasks!$N$2:$N$168,"YES")/COUNTIF(Tasks!$E$2:$E$168,"Missing feature"))</f>
      </c>
    </row>
    <row r="26" spans="1:4" x14ac:dyDescent="0.25">
      <c r="A26" t="s">
        <v>374</v>
      </c>
      <c r="B26">
        <f>COUNTIF(Tasks!$E$2:$E$168,"New feature")</f>
      </c>
      <c r="C26">
        <f>COUNTIFS(Tasks!$E$2:$E$168,"New feature",Tasks!$N$2:$N$168,"YES")</f>
      </c>
      <c r="D26" s="16">
        <f>IF(COUNTIF(Tasks!$E$2:$E$168,"New feature")=0,0,COUNTIFS(Tasks!$E$2:$E$168,"New feature",Tasks!$N$2:$N$168,"YES")/COUNTIF(Tasks!$E$2:$E$168,"New feature"))</f>
      </c>
    </row>
    <row r="27" spans="1:4" x14ac:dyDescent="0.25">
      <c r="A27" t="s">
        <v>224</v>
      </c>
      <c r="B27">
        <f>COUNTIF(Tasks!$E$2:$E$168,"Polish")</f>
      </c>
      <c r="C27">
        <f>COUNTIFS(Tasks!$E$2:$E$168,"Polish",Tasks!$N$2:$N$168,"YES")</f>
      </c>
      <c r="D27" s="16">
        <f>IF(COUNTIF(Tasks!$E$2:$E$168,"Polish")=0,0,COUNTIFS(Tasks!$E$2:$E$168,"Polish",Tasks!$N$2:$N$168,"YES")/COUNTIF(Tasks!$E$2:$E$168,"Polish"))</f>
      </c>
    </row>
    <row r="28" spans="1:4" x14ac:dyDescent="0.25">
      <c r="A28" t="s">
        <v>39</v>
      </c>
      <c r="B28">
        <f>COUNTIF(Tasks!$E$2:$E$168,"Security")</f>
      </c>
      <c r="C28">
        <f>COUNTIFS(Tasks!$E$2:$E$168,"Security",Tasks!$N$2:$N$168,"YES")</f>
      </c>
      <c r="D28" s="16">
        <f>IF(COUNTIF(Tasks!$E$2:$E$168,"Security")=0,0,COUNTIFS(Tasks!$E$2:$E$168,"Security",Tasks!$N$2:$N$168,"YES")/COUNTIF(Tasks!$E$2:$E$168,"Security"))</f>
      </c>
    </row>
    <row r="29" spans="1:4" x14ac:dyDescent="0.25">
      <c r="A29" t="s">
        <v>53</v>
      </c>
      <c r="B29">
        <f>COUNTIF(Tasks!$E$2:$E$168,"Test")</f>
      </c>
      <c r="C29">
        <f>COUNTIFS(Tasks!$E$2:$E$168,"Test",Tasks!$N$2:$N$168,"YES")</f>
      </c>
      <c r="D29" s="16">
        <f>IF(COUNTIF(Tasks!$E$2:$E$168,"Test")=0,0,COUNTIFS(Tasks!$E$2:$E$168,"Test",Tasks!$N$2:$N$168,"YES")/COUNTIF(Tasks!$E$2:$E$168,"Test"))</f>
      </c>
    </row>
    <row r="31" spans="1:4" s="15" customFormat="1" x14ac:dyDescent="0.25">
      <c r="A31" s="15" t="s">
        <v>1176</v>
      </c>
      <c r="B31" s="15" t="s">
        <v>1172</v>
      </c>
      <c r="C31" s="15" t="s">
        <v>1173</v>
      </c>
      <c r="D31" s="15" t="s">
        <v>1169</v>
      </c>
    </row>
    <row r="32" spans="1:4" x14ac:dyDescent="0.25">
      <c r="A32" t="s">
        <v>159</v>
      </c>
      <c r="B32">
        <f>COUNTIF(Tasks!$F$2:$F$168,"AI")</f>
      </c>
      <c r="C32">
        <f>COUNTIFS(Tasks!$F$2:$F$168,"AI",Tasks!$N$2:$N$168,"YES")</f>
      </c>
      <c r="D32" s="16">
        <f>IF(COUNTIF(Tasks!$F$2:$F$168,"AI")=0,0,COUNTIFS(Tasks!$F$2:$F$168,"AI",Tasks!$N$2:$N$168,"YES")/COUNTIF(Tasks!$F$2:$F$168,"AI"))</f>
      </c>
    </row>
    <row r="33" spans="1:4" x14ac:dyDescent="0.25">
      <c r="A33" t="s">
        <v>337</v>
      </c>
      <c r="B33">
        <f>COUNTIF(Tasks!$F$2:$F$168,"API")</f>
      </c>
      <c r="C33">
        <f>COUNTIFS(Tasks!$F$2:$F$168,"API",Tasks!$N$2:$N$168,"YES")</f>
      </c>
      <c r="D33" s="16">
        <f>IF(COUNTIF(Tasks!$F$2:$F$168,"API")=0,0,COUNTIFS(Tasks!$F$2:$F$168,"API",Tasks!$N$2:$N$168,"YES")/COUNTIF(Tasks!$F$2:$F$168,"API"))</f>
      </c>
    </row>
    <row r="34" spans="1:4" x14ac:dyDescent="0.25">
      <c r="A34" t="s">
        <v>24</v>
      </c>
      <c r="B34">
        <f>COUNTIF(Tasks!$F$2:$F$168,"Auth")</f>
      </c>
      <c r="C34">
        <f>COUNTIFS(Tasks!$F$2:$F$168,"Auth",Tasks!$N$2:$N$168,"YES")</f>
      </c>
      <c r="D34" s="16">
        <f>IF(COUNTIF(Tasks!$F$2:$F$168,"Auth")=0,0,COUNTIFS(Tasks!$F$2:$F$168,"Auth",Tasks!$N$2:$N$168,"YES")/COUNTIF(Tasks!$F$2:$F$168,"Auth"))</f>
      </c>
    </row>
    <row r="35" spans="1:4" x14ac:dyDescent="0.25">
      <c r="A35" t="s">
        <v>73</v>
      </c>
      <c r="B35">
        <f>COUNTIF(Tasks!$F$2:$F$168,"DB")</f>
      </c>
      <c r="C35">
        <f>COUNTIFS(Tasks!$F$2:$F$168,"DB",Tasks!$N$2:$N$168,"YES")</f>
      </c>
      <c r="D35" s="16">
        <f>IF(COUNTIF(Tasks!$F$2:$F$168,"DB")=0,0,COUNTIFS(Tasks!$F$2:$F$168,"DB",Tasks!$N$2:$N$168,"YES")/COUNTIF(Tasks!$F$2:$F$168,"DB"))</f>
      </c>
    </row>
    <row r="36" spans="1:4" x14ac:dyDescent="0.25">
      <c r="A36" t="s">
        <v>187</v>
      </c>
      <c r="B36">
        <f>COUNTIF(Tasks!$F$2:$F$168,"Docs")</f>
      </c>
      <c r="C36">
        <f>COUNTIFS(Tasks!$F$2:$F$168,"Docs",Tasks!$N$2:$N$168,"YES")</f>
      </c>
      <c r="D36" s="16">
        <f>IF(COUNTIF(Tasks!$F$2:$F$168,"Docs")=0,0,COUNTIFS(Tasks!$F$2:$F$168,"Docs",Tasks!$N$2:$N$168,"YES")/COUNTIF(Tasks!$F$2:$F$168,"Docs"))</f>
      </c>
    </row>
    <row r="37" spans="1:4" x14ac:dyDescent="0.25">
      <c r="A37" t="s">
        <v>83</v>
      </c>
      <c r="B37">
        <f>COUNTIF(Tasks!$F$2:$F$168,"Infra")</f>
      </c>
      <c r="C37">
        <f>COUNTIFS(Tasks!$F$2:$F$168,"Infra",Tasks!$N$2:$N$168,"YES")</f>
      </c>
      <c r="D37" s="16">
        <f>IF(COUNTIF(Tasks!$F$2:$F$168,"Infra")=0,0,COUNTIFS(Tasks!$F$2:$F$168,"Infra",Tasks!$N$2:$N$168,"YES")/COUNTIF(Tasks!$F$2:$F$168,"Infra"))</f>
      </c>
    </row>
    <row r="38" spans="1:4" x14ac:dyDescent="0.25">
      <c r="A38" t="s">
        <v>53</v>
      </c>
      <c r="B38">
        <f>COUNTIF(Tasks!$F$2:$F$168,"Test")</f>
      </c>
      <c r="C38">
        <f>COUNTIFS(Tasks!$F$2:$F$168,"Test",Tasks!$N$2:$N$168,"YES")</f>
      </c>
      <c r="D38" s="16">
        <f>IF(COUNTIF(Tasks!$F$2:$F$168,"Test")=0,0,COUNTIFS(Tasks!$F$2:$F$168,"Test",Tasks!$N$2:$N$168,"YES")/COUNTIF(Tasks!$F$2:$F$168,"Test"))</f>
      </c>
    </row>
    <row r="39" spans="1:4" x14ac:dyDescent="0.25">
      <c r="A39" t="s">
        <v>94</v>
      </c>
      <c r="B39">
        <f>COUNTIF(Tasks!$F$2:$F$168,"UI")</f>
      </c>
      <c r="C39">
        <f>COUNTIFS(Tasks!$F$2:$F$168,"UI",Tasks!$N$2:$N$168,"YES")</f>
      </c>
      <c r="D39" s="16">
        <f>IF(COUNTIF(Tasks!$F$2:$F$168,"UI")=0,0,COUNTIFS(Tasks!$F$2:$F$168,"UI",Tasks!$N$2:$N$168,"YES")/COUNTIF(Tasks!$F$2:$F$168,"UI"))</f>
      </c>
    </row>
    <row r="41" spans="1:4" s="15" customFormat="1" x14ac:dyDescent="0.25">
      <c r="A41" s="15" t="s">
        <v>1177</v>
      </c>
      <c r="B41" s="15" t="s">
        <v>1172</v>
      </c>
      <c r="C41" s="15" t="s">
        <v>1173</v>
      </c>
      <c r="D41" s="15" t="s">
        <v>1169</v>
      </c>
    </row>
    <row r="42" spans="1:4" x14ac:dyDescent="0.25">
      <c r="A42" t="s">
        <v>60</v>
      </c>
      <c r="B42">
        <f>COUNTIF(Tasks!$Q$2:$Q$168,"Low")</f>
      </c>
      <c r="C42">
        <f>COUNTIFS(Tasks!$Q$2:$Q$168,"Low",Tasks!$N$2:$N$168,"YES")</f>
      </c>
      <c r="D42" s="16">
        <f>IF(COUNTIF(Tasks!$Q$2:$Q$168,"Low")=0,0,COUNTIFS(Tasks!$Q$2:$Q$168,"Low",Tasks!$N$2:$N$168,"YES")/COUNTIF(Tasks!$Q$2:$Q$168,"Low"))</f>
      </c>
    </row>
    <row r="43" spans="1:4" x14ac:dyDescent="0.25">
      <c r="A43" t="s">
        <v>278</v>
      </c>
      <c r="B43">
        <f>COUNTIF(Tasks!$Q$2:$Q$168,"Medium")</f>
      </c>
      <c r="C43">
        <f>COUNTIFS(Tasks!$Q$2:$Q$168,"Medium",Tasks!$N$2:$N$168,"YES")</f>
      </c>
      <c r="D43" s="16">
        <f>IF(COUNTIF(Tasks!$Q$2:$Q$168,"Medium")=0,0,COUNTIFS(Tasks!$Q$2:$Q$168,"Medium",Tasks!$N$2:$N$168,"YES")/COUNTIF(Tasks!$Q$2:$Q$168,"Medium"))</f>
      </c>
    </row>
    <row r="44" spans="1:4" x14ac:dyDescent="0.25">
      <c r="A44" t="s">
        <v>35</v>
      </c>
      <c r="B44">
        <f>COUNTIF(Tasks!$Q$2:$Q$168,"High")</f>
      </c>
      <c r="C44">
        <f>COUNTIFS(Tasks!$Q$2:$Q$168,"High",Tasks!$N$2:$N$168,"YES")</f>
      </c>
      <c r="D44" s="16">
        <f>IF(COUNTIF(Tasks!$Q$2:$Q$168,"High")=0,0,COUNTIFS(Tasks!$Q$2:$Q$168,"High",Tasks!$N$2:$N$168,"YES")/COUNTIF(Tasks!$Q$2:$Q$168,"High"))</f>
      </c>
    </row>
    <row r="46" spans="1:4" s="15" customFormat="1" x14ac:dyDescent="0.25">
      <c r="A46" s="15" t="s">
        <v>1178</v>
      </c>
      <c r="B46" s="15" t="s">
        <v>1172</v>
      </c>
      <c r="C46" s="15" t="s">
        <v>1173</v>
      </c>
      <c r="D46" s="15" t="s">
        <v>1169</v>
      </c>
    </row>
    <row r="47" spans="1:4" x14ac:dyDescent="0.25">
      <c r="A47" t="s">
        <v>36</v>
      </c>
      <c r="B47">
        <f>COUNTIF(Tasks!$R$2:$R$168,"Proceed")</f>
      </c>
      <c r="C47">
        <f>COUNTIFS(Tasks!$R$2:$R$168,"Proceed",Tasks!$N$2:$N$168,"YES")</f>
      </c>
      <c r="D47" s="16">
        <f>IF(COUNTIF(Tasks!$R$2:$R$168,"Proceed")=0,0,COUNTIFS(Tasks!$R$2:$R$168,"Proceed",Tasks!$N$2:$N$168,"YES")/COUNTIF(Tasks!$R$2:$R$168,"Proceed"))</f>
      </c>
    </row>
    <row r="48" spans="1:4" x14ac:dyDescent="0.25">
      <c r="A48" t="s">
        <v>710</v>
      </c>
      <c r="B48">
        <f>COUNTIF(Tasks!$R$2:$R$168,"On-Hold")</f>
      </c>
      <c r="C48">
        <f>COUNTIFS(Tasks!$R$2:$R$168,"On-Hold",Tasks!$N$2:$N$168,"YES")</f>
      </c>
      <c r="D48" s="16">
        <f>IF(COUNTIF(Tasks!$R$2:$R$168,"On-Hold")=0,0,COUNTIFS(Tasks!$R$2:$R$168,"On-Hold",Tasks!$N$2:$N$168,"YES")/COUNTIF(Tasks!$R$2:$R$168,"On-Hold"))</f>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Ideon</dc:creator>
  <dc:title/>
  <dc:subject/>
  <dc:description/>
  <cp:keywords/>
  <cp:category/>
  <cp:lastModifiedBy>Unknown</cp:lastModifiedBy>
  <dcterms:created xsi:type="dcterms:W3CDTF">2026-09-21T14:21:17Z</dcterms:created>
  <dcterms:modified xsi:type="dcterms:W3CDTF">2026-09-21T14:21:17Z</dcterms:modified>
</cp:coreProperties>
</file>