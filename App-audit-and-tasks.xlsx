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amp; Tasks" sheetId="1" state="visible" r:id="rId1"/>
    <sheet name="Legend &amp; Status" sheetId="2" state="visible" r:id="rId2"/>
  </sheets>
  <definedNames>
    <definedName name="_xlnm._FilterDatabase" localSheetId="0" hidden="1">'Audit &amp; Tasks'!$A$1:$N$500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sz val="10"/>
    </font>
    <font>
      <name val="Arial"/>
      <sz val="10"/>
    </font>
    <font>
      <name val="Arial"/>
      <b val="1"/>
      <color rgb="001F2430"/>
      <sz val="14"/>
    </font>
    <font>
      <name val="Arial"/>
      <color rgb="0055606E"/>
      <sz val="10"/>
    </font>
    <font>
      <name val="Arial"/>
      <b val="1"/>
      <color rgb="00FFFFFF"/>
      <sz val="11"/>
    </font>
    <font>
      <name val="Arial"/>
      <b val="1"/>
      <sz val="10"/>
    </font>
    <font>
      <name val="Arial"/>
      <i val="1"/>
      <color rgb="008A9099"/>
      <sz val="9"/>
    </font>
  </fonts>
  <fills count="4">
    <fill>
      <patternFill/>
    </fill>
    <fill>
      <patternFill patternType="gray125"/>
    </fill>
    <fill>
      <patternFill patternType="solid">
        <fgColor rgb="001F2430"/>
      </patternFill>
    </fill>
    <fill>
      <patternFill patternType="solid">
        <fgColor rgb="00FFF7E0"/>
      </patternFill>
    </fill>
  </fills>
  <borders count="2">
    <border>
      <left/>
      <right/>
      <top/>
      <bottom/>
      <diagonal/>
    </border>
    <border>
      <left style="thin">
        <color rgb="00D5D8DE"/>
      </left>
      <right style="thin">
        <color rgb="00D5D8DE"/>
      </right>
      <top style="thin">
        <color rgb="00D5D8DE"/>
      </top>
      <bottom style="thin">
        <color rgb="00D5D8DE"/>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3"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3" fillId="0" borderId="0" pivotButton="0" quotePrefix="0" xfId="0"/>
    <xf numFmtId="0" fontId="4" fillId="0" borderId="0" pivotButton="0" quotePrefix="0" xfId="0"/>
    <xf numFmtId="0" fontId="5" fillId="2" borderId="0" pivotButton="0" quotePrefix="0" xfId="0"/>
    <xf numFmtId="0" fontId="0" fillId="2" borderId="0" pivotButton="0" quotePrefix="0" xfId="0"/>
    <xf numFmtId="0" fontId="6" fillId="0" borderId="0" pivotButton="0" quotePrefix="0" xfId="0"/>
    <xf numFmtId="0" fontId="2" fillId="0" borderId="0" applyAlignment="1" pivotButton="0" quotePrefix="0" xfId="0">
      <alignment vertical="top" wrapText="1"/>
    </xf>
    <xf numFmtId="3" fontId="2" fillId="0" borderId="0" applyAlignment="1" pivotButton="0" quotePrefix="0" xfId="0">
      <alignment horizontal="center"/>
    </xf>
    <xf numFmtId="164" fontId="2" fillId="0" borderId="0" applyAlignment="1" pivotButton="0" quotePrefix="0" xfId="0">
      <alignment horizontal="center"/>
    </xf>
    <xf numFmtId="0" fontId="7" fillId="0" borderId="0" pivotButton="0" quotePrefix="0" xfId="0"/>
  </cellXfs>
  <cellStyles count="1">
    <cellStyle name="Normal" xfId="0" builtinId="0" hidden="0"/>
  </cellStyles>
  <dxfs count="5">
    <dxf>
      <font>
        <name val="Arial"/>
        <b val="1"/>
        <color rgb="009B1C1C"/>
        <sz val="10"/>
      </font>
      <fill>
        <patternFill patternType="solid">
          <fgColor rgb="00FDE2E2"/>
        </patternFill>
      </fill>
    </dxf>
    <dxf>
      <font>
        <name val="Arial"/>
        <b val="1"/>
        <color rgb="009A4A00"/>
        <sz val="10"/>
      </font>
      <fill>
        <patternFill patternType="solid">
          <fgColor rgb="00FEF0DC"/>
        </patternFill>
      </fill>
    </dxf>
    <dxf>
      <font>
        <name val="Arial"/>
        <b val="1"/>
        <color rgb="0014663C"/>
        <sz val="10"/>
      </font>
      <fill>
        <patternFill patternType="solid">
          <fgColor rgb="00DFF3E6"/>
        </patternFill>
      </fill>
    </dxf>
    <dxf>
      <font>
        <name val="Arial"/>
        <b val="1"/>
        <color rgb="001F4B99"/>
        <sz val="10"/>
      </font>
      <fill>
        <patternFill patternType="solid">
          <fgColor rgb="00E3ECFB"/>
        </patternFill>
      </fill>
    </dxf>
    <dxf>
      <font>
        <name val="Arial"/>
        <color rgb="008A9099"/>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zoomScale="10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20" customWidth="1" min="3" max="3"/>
    <col width="12" customWidth="1" min="4" max="4"/>
    <col width="18" customWidth="1" min="5" max="5"/>
    <col width="40" customWidth="1" min="6" max="6"/>
    <col width="34" customWidth="1" min="7" max="7"/>
    <col width="56" customWidth="1" min="8" max="8"/>
    <col width="40" customWidth="1" min="9" max="9"/>
    <col width="40" customWidth="1" min="10" max="10"/>
    <col width="14" customWidth="1" min="11" max="11"/>
    <col width="14" customWidth="1" min="12" max="12"/>
    <col width="14" customWidth="1" min="13" max="13"/>
    <col width="14" customWidth="1" min="14" max="14"/>
  </cols>
  <sheetData>
    <row r="1" ht="34" customHeight="1">
      <c r="A1" s="1" t="inlineStr">
        <is>
          <t>Task ID</t>
        </is>
      </c>
      <c r="B1" s="1" t="inlineStr">
        <is>
          <t>Finding</t>
        </is>
      </c>
      <c r="C1" s="1" t="inlineStr">
        <is>
          <t>Phase</t>
        </is>
      </c>
      <c r="D1" s="1" t="inlineStr">
        <is>
          <t>Severity</t>
        </is>
      </c>
      <c r="E1" s="1" t="inlineStr">
        <is>
          <t>Area</t>
        </is>
      </c>
      <c r="F1" s="1" t="inlineStr">
        <is>
          <t>Task (imperative)</t>
        </is>
      </c>
      <c r="G1" s="1" t="inlineStr">
        <is>
          <t>Location / Evidence (file:line)</t>
        </is>
      </c>
      <c r="H1" s="1" t="inlineStr">
        <is>
          <t>What to do (detailed)</t>
        </is>
      </c>
      <c r="I1" s="1" t="inlineStr">
        <is>
          <t>Expected result</t>
        </is>
      </c>
      <c r="J1" s="1" t="inlineStr">
        <is>
          <t>Done means (verification)</t>
        </is>
      </c>
      <c r="K1" s="1" t="inlineStr">
        <is>
          <t>Depends on</t>
        </is>
      </c>
      <c r="L1" s="1" t="inlineStr">
        <is>
          <t>Effort</t>
        </is>
      </c>
      <c r="M1" s="1" t="inlineStr">
        <is>
          <t>Runtime VERIFY</t>
        </is>
      </c>
      <c r="N1" s="1" t="inlineStr">
        <is>
          <t>Done? (Yes/ No)</t>
        </is>
      </c>
    </row>
    <row r="2">
      <c r="A2" s="5" t="inlineStr">
        <is>
          <t>A-002</t>
        </is>
      </c>
      <c r="B2" s="6" t="inlineStr">
        <is>
          <t>Deadlines are missed even though tasks are scheduled and push notifications exist. The only 'due' signal is a browser notification for tasks already past plan.endDate (yesterday or earlier); nothing fires for tasks due today and nothing appears inside the app itself.</t>
        </is>
      </c>
      <c r="C2" s="5" t="inlineStr">
        <is>
          <t>Phase 1 - Correctness</t>
        </is>
      </c>
      <c r="D2" s="5" t="inlineStr">
        <is>
          <t>High</t>
        </is>
      </c>
      <c r="E2" s="7" t="inlineStr">
        <is>
          <t>Hooks</t>
        </is>
      </c>
      <c r="F2" s="6" t="inlineStr">
        <is>
          <t>Create a pure due-alert eligibility module that decides which tasks should alert right now</t>
        </is>
      </c>
      <c r="G2" s="6" t="inlineStr">
        <is>
          <t>src/hooks/useNotifications.js:79-83 (overdue = plan.endDate &lt; today, so due-today tasks never qualify); src/services/firebase.js:345 todayLocal()
Verified: src/services/dueAlerts.js; 14 unit tests pass (npm test, 24 total).</t>
        </is>
      </c>
      <c r="H2" s="6" t="inlineStr">
        <is>
          <t>Add src/services/dueAlerts.js with NO imports from firebase.js or import.meta.env (so it is unit-testable). Export: isDueForAlert(task, { today, leadDays }) -&gt; true when status !== 'done', not deleted/archived, plan.endDate exists and plan.endDate &lt;= addDays(today, leadDays); buildAlertQueue(tasks, { today, leadDays, snoozes, skips }) -&gt; array sorted by (1) most overdue first, (2) priority high&gt;medium&gt;low, (3) title; a task is excluded while snoozes[taskId] &gt; Date.now() or skips has key `${taskId}|${plan.endDate}|${today}`. Export alertKey(task, today) that builds that key. Keep dates as YYYY-MM-DD strings per project convention.</t>
        </is>
      </c>
      <c r="I2" s="6" t="inlineStr">
        <is>
          <t>One function answers 'which tasks should alert, in what order' for both the modal and the browser notification, and due-today tasks are included.</t>
        </is>
      </c>
      <c r="J2" s="6" t="inlineStr">
        <is>
          <t>Unit tests in A-013 pass: due-today task included with leadDays 0; task due in 2 days included only when leadDays &gt;= 2; done task excluded; snoozed task excluded until its timestamp; ordering is overdue-most first.</t>
        </is>
      </c>
      <c r="K2" s="7" t="inlineStr">
        <is>
          <t>-</t>
        </is>
      </c>
      <c r="L2" s="5" t="inlineStr">
        <is>
          <t>S (~1h)</t>
        </is>
      </c>
      <c r="M2" s="5" t="inlineStr">
        <is>
          <t>No</t>
        </is>
      </c>
      <c r="N2" s="5" t="inlineStr">
        <is>
          <t>Yes</t>
        </is>
      </c>
    </row>
    <row r="3">
      <c r="A3" s="5" t="inlineStr">
        <is>
          <t>A-003</t>
        </is>
      </c>
      <c r="B3" s="6" t="inlineStr">
        <is>
          <t>Per-device snooze and skip state has nowhere to live. Snoozing must survive a page reload, otherwise the alert re-opens immediately and the user learns to ignore it.</t>
        </is>
      </c>
      <c r="C3" s="5" t="inlineStr">
        <is>
          <t>Phase 1 - Correctness</t>
        </is>
      </c>
      <c r="D3" s="5" t="inlineStr">
        <is>
          <t>High</t>
        </is>
      </c>
      <c r="E3" s="7" t="inlineStr">
        <is>
          <t>Hooks</t>
        </is>
      </c>
      <c r="F3" s="6" t="inlineStr">
        <is>
          <t>Add localStorage-backed snooze / skip store keyed by userId and taskId</t>
        </is>
      </c>
      <c r="G3" s="6" t="inlineStr">
        <is>
          <t>src/hooks/useNotifications.js:8-9,40-46 (existing SHOWN_KEY pattern); src/hooks/useTimer.js (localStorage hook pattern)
Verified: loadAlertState/saveAlertState prune expired snoozes + other-day skips (unit-tested); harness confirms snooze persisted in localStorage.</t>
        </is>
      </c>
      <c r="H3" s="6" t="inlineStr">
        <is>
          <t>In src/services/dueAlerts.js add loadAlertState(userId) / saveAlertState(userId, state) using keys task-monitor.dueAlerts.snooze.v1.&lt;userId&gt; and task-monitor.dueAlerts.skip.v1.&lt;userId&gt;. Shape: snoozes = { [taskId]: epochMs }, skips = [alertKey, ...]. On load, drop snoozes whose epochMs &lt; Date.now() and skips whose day segment != today so the store cannot grow forever. Wrap every read/write in try/catch (private mode). Decision: per-device localStorage, not a Firestore field, because tasks are shared across workspace members and one person's snooze must not silence a teammate; note this in a code comment.</t>
        </is>
      </c>
      <c r="I3" s="6" t="inlineStr">
        <is>
          <t>Snooze for 15 min, reload the page: the modal stays hidden until the 15 minutes elapse. Skip a task: it stays hidden for the rest of the day and returns tomorrow if still open.</t>
        </is>
      </c>
      <c r="J3" s="6" t="inlineStr">
        <is>
          <t>DevTools &gt; Application &gt; Local Storage shows the two keys after snoozing; reload before expiry shows no modal; edit the epoch to a past value and reload: modal returns for that task.</t>
        </is>
      </c>
      <c r="K3" s="7" t="inlineStr">
        <is>
          <t>A-002</t>
        </is>
      </c>
      <c r="L3" s="5" t="inlineStr">
        <is>
          <t>S (~1h)</t>
        </is>
      </c>
      <c r="M3" s="5" t="inlineStr">
        <is>
          <t>Yes</t>
        </is>
      </c>
      <c r="N3" s="5" t="inlineStr">
        <is>
          <t>Yes</t>
        </is>
      </c>
    </row>
    <row r="4">
      <c r="A4" s="5" t="inlineStr">
        <is>
          <t>A-004</t>
        </is>
      </c>
      <c r="B4" s="6" t="inlineStr">
        <is>
          <t>There is no queue orchestration: nothing decides which single task to show, when to advance to the next one, or how to react when the task list changes while the modal is open.</t>
        </is>
      </c>
      <c r="C4" s="5" t="inlineStr">
        <is>
          <t>Phase 1 - Correctness</t>
        </is>
      </c>
      <c r="D4" s="5" t="inlineStr">
        <is>
          <t>High</t>
        </is>
      </c>
      <c r="E4" s="7" t="inlineStr">
        <is>
          <t>Hooks</t>
        </is>
      </c>
      <c r="F4" s="6" t="inlineStr">
        <is>
          <t>Build useDueAlertQueue() hook that yields exactly one current task and exposes done / skip / snooze actions</t>
        </is>
      </c>
      <c r="G4" s="6" t="inlineStr">
        <is>
          <t>src/hooks/useNotifications.js:59-104 (useOverdueScan: the 5-min setInterval and tasks dependency to mirror); src/hooks/useTasks.js:122 useTasks()
Verified: src/hooks/useDueAlertQueue.js; queue advanced Snooze→Skip→empty in harness; pinned current; done pauses for celebration.</t>
        </is>
      </c>
      <c r="H4" s="6" t="inlineStr">
        <is>
          <t>Create src/hooks/useDueAlertQueue.js. Inputs: tasks from useTasks(), userId, settings.dueAlerts (from A-009). Every 60 s (and whenever tasks change) recompute buildAlertQueue(); expose { current, remaining, snooze(minutes), skip(), markDone(), refresh }. snooze(m) writes snoozes[current.id] = Date.now()+m*60000 via A-003 then recomputes; skip() appends alertKey then recomputes; markDone() calls setTaskStatus(current, 'done') (firebase.js:958) and lets the tasks subscription remove it from the queue. Recompute must NOT reorder while a task is on screen: keep current pinned until it becomes ineligible, so a Firestore update mid-read does not swap the task under the user. Return current = null when disabled in settings or when queue is empty.</t>
        </is>
      </c>
      <c r="I4" s="6" t="inlineStr">
        <is>
          <t>Only one task is exposed at a time; Done, Skip and Snooze each remove it and the hook immediately yields the next eligible task, or null when none remain.</t>
        </is>
      </c>
      <c r="J4" s="6" t="inlineStr">
        <is>
          <t>With three due tasks: modal shows task 1; press Skip -&gt; task 2 appears; press Done -&gt; task 2 moves to Done column on Board and task 3 appears; Snooze -&gt; modal closes; after the interval task 3 returns.</t>
        </is>
      </c>
      <c r="K4" s="7" t="inlineStr">
        <is>
          <t>A-002, A-003</t>
        </is>
      </c>
      <c r="L4" s="5" t="inlineStr">
        <is>
          <t>M (~half day)</t>
        </is>
      </c>
      <c r="M4" s="5" t="inlineStr">
        <is>
          <t>Yes</t>
        </is>
      </c>
      <c r="N4" s="5" t="inlineStr">
        <is>
          <t>Yes</t>
        </is>
      </c>
    </row>
    <row r="5">
      <c r="A5" s="5" t="inlineStr">
        <is>
          <t>A-005</t>
        </is>
      </c>
      <c r="B5" s="6" t="inlineStr">
        <is>
          <t>No on-screen alert modal exists. The whole feature needs a visible, single-task dialog mounted once at the app root so it appears on every view.</t>
        </is>
      </c>
      <c r="C5" s="5" t="inlineStr">
        <is>
          <t>Phase 4 - UX &amp; Accessibility</t>
        </is>
      </c>
      <c r="D5" s="5" t="inlineStr">
        <is>
          <t>High</t>
        </is>
      </c>
      <c r="E5" s="7" t="inlineStr">
        <is>
          <t>TaskEditor</t>
        </is>
      </c>
      <c r="F5" s="6" t="inlineStr">
        <is>
          <t>Create DueTaskAlertModal component and mount it once in ApprovedApp</t>
        </is>
      </c>
      <c r="G5" s="6" t="inlineStr">
        <is>
          <t>src/App.jsx:131 (useOverdueScan() call site - mount next to it); src/components/ActivityLogger.jsx:65-68 (modal-backdrop / modal / modal-title / modal-sub markup to reuse)
Verified: DueTaskAlertModal mounted in ApprovedApp (App.jsx); harness dev/due-alert.html renders badge, project, priority, due, subtasks, four buttons.</t>
        </is>
      </c>
      <c r="H5" s="6" t="inlineStr">
        <is>
          <t>Create src/components/DueTaskAlertModal.jsx. Render nothing when current is null. Layout: header badge 'Due today' / 'Overdue by N days' computed from plan.endDate vs todayLocal(); task title, project name + colour dot (projects byId from useProjects), priority chip, due date, requestedBy, open subtasks count, description (via Markdown component). Footer buttons: Done (btn-primary), Skip, Snooze (see A-008), Open task. 'Open task' navigates to #/board/&lt;projectId&gt; with the task-open route param Board already honours (Board.jsx:61) so the full TaskEditor opens. Backdrop click does NOT dismiss (intentional interruption); Esc = snooze for default interval. Use only --c-* tokens. Mount as &lt;DueTaskAlertModal /&gt; inside ApprovedApp in App.jsx right after useOverdueScan() so it is present on every route.</t>
        </is>
      </c>
      <c r="I5" s="6" t="inlineStr">
        <is>
          <t>When a task is due today or overdue and not snoozed/skipped, a modal appears on any view showing that one task with Done / Skip / Snooze / Open task.</t>
        </is>
      </c>
      <c r="J5" s="6" t="inlineStr">
        <is>
          <t>Set a task's plan end to today, reload on Board, Calendar and Settings: modal shows on each. Press Done: task goes to Done and celebration fires. No console errors.</t>
        </is>
      </c>
      <c r="K5" s="7" t="inlineStr">
        <is>
          <t>A-004</t>
        </is>
      </c>
      <c r="L5" s="5" t="inlineStr">
        <is>
          <t>M (~half day)</t>
        </is>
      </c>
      <c r="M5" s="5" t="inlineStr">
        <is>
          <t>Yes</t>
        </is>
      </c>
      <c r="N5" s="5" t="inlineStr">
        <is>
          <t>Yes</t>
        </is>
      </c>
    </row>
    <row r="6">
      <c r="A6" s="5" t="inlineStr">
        <is>
          <t>A-006</t>
        </is>
      </c>
      <c r="B6" s="6" t="inlineStr">
        <is>
          <t>The modal must show a paste-ready GenAI prompt for the task, but generateClaudePrompt() is only reachable from the TaskEditor AI tab and re-generating on every appearance would re-bill the company key each time.</t>
        </is>
      </c>
      <c r="C6" s="5" t="inlineStr">
        <is>
          <t>Phase 4 - UX &amp; Accessibility</t>
        </is>
      </c>
      <c r="D6" s="5" t="inlineStr">
        <is>
          <t>High</t>
        </is>
      </c>
      <c r="E6" s="7" t="inlineStr">
        <is>
          <t>AI Bridge</t>
        </is>
      </c>
      <c r="F6" s="6" t="inlineStr">
        <is>
          <t>Generate and cache the fulfilment prompt inside the alert modal via generateClaudePrompt()</t>
        </is>
      </c>
      <c r="G6" s="6" t="inlineStr">
        <is>
          <t>src/services/anthropic.js:117-147 generateClaudePrompt(); src/components/TaskAiPanel.jsx:56-86 (existing runPrompt + copyPrompt to mirror); src/hooks/useAiStatus.js
Verified against live bridge: prompt generated once (claude-prompt call), cached per task; reload served from cache with no new AI call; AI-offline shows 'Template (AI offline)'.</t>
        </is>
      </c>
      <c r="H6" s="6" t="inlineStr">
        <is>
          <t>In DueTaskAlertModal add a 'Prompt to fulfil this task' block. On first display of a task call generateClaudePrompt({ task, projectName, projectDescription, subtasks: task.subtasks }) through the existing chokepoint (never fetch a model directly). Cache the result in localStorage key task-monitor.dueAlerts.prompt.v1.&lt;taskId&gt; together with task.updatedAt millis; reuse the cache while updatedAt is unchanged, else regenerate. Show 'Copy prompt' (navigator.clipboard.writeText, with the alert() fallback used in TaskAiPanel) and 'Regenerate'. Gate on useAiStatus().available, NOT on getEffectiveApiKey(). When AI is unavailable, fall back to a local template built from title/description/due/subtasks (pure function buildFallbackPrompt(task, project) in dueAlerts.js) and label it 'Template (AI offline)'. Surface degraded/reason from the response as a small warning badge rather than as a clean result.</t>
        </is>
      </c>
      <c r="I6" s="6" t="inlineStr">
        <is>
          <t>Every alert shows a prompt the user can copy into any GenAI tool to produce the deliverable (email draft, document, file...). Re-showing the same task costs zero AI calls.</t>
        </is>
      </c>
      <c r="J6" s="6" t="inlineStr">
        <is>
          <t>Open alert: prompt appears within a few seconds; close and re-open (snooze 1 min): prompt appears instantly and bridge /ai/usage shows no new call. Stop the bridge: template prompt appears with the offline label.</t>
        </is>
      </c>
      <c r="K6" s="7" t="inlineStr">
        <is>
          <t>A-005</t>
        </is>
      </c>
      <c r="L6" s="5" t="inlineStr">
        <is>
          <t>M (~half day)</t>
        </is>
      </c>
      <c r="M6" s="5" t="inlineStr">
        <is>
          <t>Yes</t>
        </is>
      </c>
      <c r="N6" s="5" t="inlineStr">
        <is>
          <t>Yes</t>
        </is>
      </c>
    </row>
    <row r="7">
      <c r="A7" s="5" t="inlineStr">
        <is>
          <t>A-007</t>
        </is>
      </c>
      <c r="B7" s="6" t="inlineStr">
        <is>
          <t>The user needs to (1) edit the generated prompt before using it and (2) run it in place without leaving the app. Today prompts are read-only text and can only be copied.</t>
        </is>
      </c>
      <c r="C7" s="5" t="inlineStr">
        <is>
          <t>Phase 4 - UX &amp; Accessibility</t>
        </is>
      </c>
      <c r="D7" s="5" t="inlineStr">
        <is>
          <t>High</t>
        </is>
      </c>
      <c r="E7" s="7" t="inlineStr">
        <is>
          <t>AI Bridge</t>
        </is>
      </c>
      <c r="F7" s="6" t="inlineStr">
        <is>
          <t>Add Edit and Run buttons to the prompt block; run through askAI and render the answer</t>
        </is>
      </c>
      <c r="G7" s="6" t="inlineStr">
        <is>
          <t>src/services/ai.js:321 askAI(system, userPrompt, opts); src/components/Markdown.jsx; src/components/AskAiView.jsx:95 (how answers are rendered)
Verified: Edit→Save marks 'edited' and persists; Run produced a 3-line email via askAI (bridge usage row kind=due-alert-run, taskId=t1, not degraded); Copy answer present.</t>
        </is>
      </c>
      <c r="H7" s="6" t="inlineStr">
        <is>
          <t>Edit: toggle the prompt &lt;pre&gt; into a &lt;textarea className="input"&gt; (min 8 rows, auto-grow); Save writes the edited text into the A-006 cache with edited:true so it is never overwritten by regenerate unless the user clicks Regenerate. Run: call askAI('You are completing a task for the user. Produce the deliverable directly, ready to use.', promptText, { meta: { kind: 'due-alert-run', taskId } }); show a 'Working...' state with the button disabled; render the answer with &lt;Markdown&gt;; add 'Copy answer' and 'Run again'. Errors (bridge down, permission_denials thrown by parseCliResult) show inline in the modal, not via alert(). Do not persist answers to Firestore; keep them in component state only. Respect BRIDGE_TIMEOUT_MS; if it rejects, show a retry hint.</t>
        </is>
      </c>
      <c r="I7" s="6" t="inlineStr">
        <is>
          <t>From the alert the user can tweak the prompt, press Run, and read the finished deliverable inside the modal, then copy it.</t>
        </is>
      </c>
      <c r="J7" s="6" t="inlineStr">
        <is>
          <t>Edit prompt to ask for a 3-line email, Save, Run: a 3-line email renders in the modal; Copy answer puts it on the clipboard; bridge /ai/usage shows one call with kind due-alert-run.</t>
        </is>
      </c>
      <c r="K7" s="7" t="inlineStr">
        <is>
          <t>A-006</t>
        </is>
      </c>
      <c r="L7" s="5" t="inlineStr">
        <is>
          <t>M (~half day)</t>
        </is>
      </c>
      <c r="M7" s="5" t="inlineStr">
        <is>
          <t>Yes</t>
        </is>
      </c>
      <c r="N7" s="5" t="inlineStr">
        <is>
          <t>Yes</t>
        </is>
      </c>
    </row>
    <row r="8">
      <c r="A8" s="5" t="inlineStr">
        <is>
          <t>A-008</t>
        </is>
      </c>
      <c r="B8" s="6" t="inlineStr">
        <is>
          <t>A busy user needs to defer the alert for a chosen number of minutes. Without a snooze control the only options are Done or Skip-for-today, which trains the user to dismiss alerts.</t>
        </is>
      </c>
      <c r="C8" s="5" t="inlineStr">
        <is>
          <t>Phase 4 - UX &amp; Accessibility</t>
        </is>
      </c>
      <c r="D8" s="5" t="inlineStr">
        <is>
          <t>High</t>
        </is>
      </c>
      <c r="E8" s="7" t="inlineStr">
        <is>
          <t>TaskEditor</t>
        </is>
      </c>
      <c r="F8" s="6" t="inlineStr">
        <is>
          <t>Add Snooze control with preset intervals and a custom minutes input</t>
        </is>
      </c>
      <c r="G8" s="6" t="inlineStr">
        <is>
          <t>src/components/DueTaskAlertModal.jsx (new, A-005); src/hooks/useDueAlertQueue.js snooze(minutes) (A-004)
Verified: presets 5/15/30/60/120 with wake times; custom 7 min + Enter snoozed; Esc = default 15 min; toast shown.</t>
        </is>
      </c>
      <c r="H8" s="6" t="inlineStr">
        <is>
          <t>Snooze is a split button: primary click snoozes for settings.dueAlerts.defaultSnoozeMin (A-009); the caret opens a menu of 5, 15, 30, 60, 120 minutes plus 'Custom...' which reveals a number input (1-1440) and a Snooze button. Show the resolved wake time next to each option ('15 min - until 14:35'). After snoozing, show a 2-second toast 'Snoozed &lt;title&gt; until 14:35' using the existing toast pattern (App.css z-index 1000 layer). Esc key = default snooze. Snoozing must advance to the next queued task immediately (queue semantics from A-004), not close the whole queue.</t>
        </is>
      </c>
      <c r="I8" s="6" t="inlineStr">
        <is>
          <t>The user can defer one task for any minute interval and keep working; the alert returns for that task at the chosen time while other due tasks still show.</t>
        </is>
      </c>
      <c r="J8" s="6" t="inlineStr">
        <is>
          <t>Snooze 1 min via Custom: modal advances to next task or closes; after ~60 s (next 60-s tick) it returns for the snoozed task. Wake time in the menu matches local (Asia/Manila) clock.</t>
        </is>
      </c>
      <c r="K8" s="7" t="inlineStr">
        <is>
          <t>A-004, A-005</t>
        </is>
      </c>
      <c r="L8" s="5" t="inlineStr">
        <is>
          <t>S (~1h)</t>
        </is>
      </c>
      <c r="M8" s="5" t="inlineStr">
        <is>
          <t>Yes</t>
        </is>
      </c>
      <c r="N8" s="5" t="inlineStr">
        <is>
          <t>Yes</t>
        </is>
      </c>
    </row>
    <row r="9">
      <c r="A9" s="5" t="inlineStr">
        <is>
          <t>A-009</t>
        </is>
      </c>
      <c r="B9" s="6" t="inlineStr">
        <is>
          <t>Alert behaviour (on/off, lead time, default snooze, quiet hours) has no home. Users who cannot switch it off will disable notifications entirely.</t>
        </is>
      </c>
      <c r="C9" s="5" t="inlineStr">
        <is>
          <t>Phase 4 - UX &amp; Accessibility</t>
        </is>
      </c>
      <c r="D9" s="5" t="inlineStr">
        <is>
          <t>Medium</t>
        </is>
      </c>
      <c r="E9" s="7" t="inlineStr">
        <is>
          <t>Settings</t>
        </is>
      </c>
      <c r="F9" s="6" t="inlineStr">
        <is>
          <t>Add dueAlerts settings to useSettings DEFAULTS and a 'Due-task alerts' section in SettingsView</t>
        </is>
      </c>
      <c r="G9" s="6" t="inlineStr">
        <is>
          <t>src/hooks/useSettings.js:8-11 DEFAULTS; src/components/SettingsView.jsx:78 (section list, next to 'notifications')
Verified: settings.dueAlerts merged into DEFAULTS; Settings → Due-task alerts section (enabled, lead time, default snooze, quiet hours, 'Show next due task now').</t>
        </is>
      </c>
      <c r="H9" s="6" t="inlineStr">
        <is>
          <t>Extend DEFAULTS with dueAlerts: { enabled: true, leadDays: 0, defaultSnoozeMin: 15, quietFrom: '', quietTo: '' }. Merge deeply on load so existing users get the defaults. In SettingsView add section id 'due-alerts' with: toggle Enabled; select Lead time (Same day / 1 day before / 2 days / 3 days / 1 week -&gt; leadDays 0/1/2/3/7); select Default snooze (5/15/30/60); two time inputs for quiet hours (no modal between them; queue resumes afterwards); button 'Show next due task now' that calls refresh() from A-004 for testing. Persist per device like the other settings. Read these values in useDueAlertQueue.</t>
        </is>
      </c>
      <c r="I9" s="6" t="inlineStr">
        <is>
          <t>Users can turn alerts off, choose how early they fire, set the default snooze, and set quiet hours, all from Settings.</t>
        </is>
      </c>
      <c r="J9" s="6" t="inlineStr">
        <is>
          <t>Set lead time to 1 day, create a task due tomorrow: modal appears. Toggle Enabled off: modal disappears immediately and does not return after reload. Set quiet hours around now: modal hidden.</t>
        </is>
      </c>
      <c r="K9" s="7" t="inlineStr">
        <is>
          <t>A-004</t>
        </is>
      </c>
      <c r="L9" s="5" t="inlineStr">
        <is>
          <t>S (~1h)</t>
        </is>
      </c>
      <c r="M9" s="5" t="inlineStr">
        <is>
          <t>Yes</t>
        </is>
      </c>
      <c r="N9" s="5" t="inlineStr">
        <is>
          <t>Yes</t>
        </is>
      </c>
    </row>
    <row r="10">
      <c r="A10" s="5" t="inlineStr">
        <is>
          <t>A-010</t>
        </is>
      </c>
      <c r="B10" s="6" t="inlineStr">
        <is>
          <t>The browser/push notification and the in-app modal are separate systems with different rules: the notification ignores due-today tasks and does not know about snooze, so the two will disagree.</t>
        </is>
      </c>
      <c r="C10" s="5" t="inlineStr">
        <is>
          <t>Phase 1 - Correctness</t>
        </is>
      </c>
      <c r="D10" s="5" t="inlineStr">
        <is>
          <t>Medium</t>
        </is>
      </c>
      <c r="E10" s="7" t="inlineStr">
        <is>
          <t>Hooks</t>
        </is>
      </c>
      <c r="F10" s="6" t="inlineStr">
        <is>
          <t>Make useOverdueScan reuse the dueAlerts eligibility and respect snooze / skip</t>
        </is>
      </c>
      <c r="G10" s="6" t="inlineStr">
        <is>
          <t>src/hooks/useNotifications.js:79-96 scan(); src/hooks/useNotifications.js:48-57 fireOverdueNotification()
Verified by code: useOverdueScan now uses buildAlertQueue + loadAlertState; title 'Task due today' vs 'overdue'; notification data.url deep-links #/board/&lt;project&gt;?task=&lt;id&gt; (App.jsx opens editor).</t>
        </is>
      </c>
      <c r="H10" s="6" t="inlineStr">
        <is>
          <t>Replace the inline overdue filter with buildAlertQueue() from A-002 using the same settings and snooze/skip state. Change the notification copy to 'Task due today' vs 'Task overdue' based on plan.endDate vs today. Keep the existing shown-set dedupe (key taskId|dueDate) so each task still notifies once per due date. Pass data: { url: `${BASE_URL}#/board/&lt;projectId&gt;?task=&lt;id&gt;` } so sw.js notificationclick (public/sw.js:11-22) focuses the tab where the modal is already showing that task. Do not remove the 5-minute interval.</t>
        </is>
      </c>
      <c r="I10" s="6" t="inlineStr">
        <is>
          <t>Push notification and modal fire for the same set of tasks under the same rules; clicking the notification lands on the app with the modal already open for that task.</t>
        </is>
      </c>
      <c r="J10" s="6" t="inlineStr">
        <is>
          <t>Grant notifications, set a task due today, reload: one OS notification 'Task due today' and the modal both appear; snooze the modal, wait for the 5-min scan: no second notification.</t>
        </is>
      </c>
      <c r="K10" s="7" t="inlineStr">
        <is>
          <t>A-002, A-003, A-009</t>
        </is>
      </c>
      <c r="L10" s="5" t="inlineStr">
        <is>
          <t>S (~1h)</t>
        </is>
      </c>
      <c r="M10" s="5" t="inlineStr">
        <is>
          <t>Yes</t>
        </is>
      </c>
      <c r="N10" s="5" t="inlineStr">
        <is>
          <t>Yes</t>
        </is>
      </c>
    </row>
    <row r="11">
      <c r="A11" s="5" t="inlineStr">
        <is>
          <t>A-011</t>
        </is>
      </c>
      <c r="B11" s="6" t="inlineStr">
        <is>
          <t>Pressing Done in the alert triggers emitTaskDone, which opens TaskDoneCelebration; two dialogs stacking, and a modal appearing over the TaskEditor mid-edit, would be confusing.</t>
        </is>
      </c>
      <c r="C11" s="5" t="inlineStr">
        <is>
          <t>Phase 4 - UX &amp; Accessibility</t>
        </is>
      </c>
      <c r="D11" s="5" t="inlineStr">
        <is>
          <t>Medium</t>
        </is>
      </c>
      <c r="E11" s="7" t="inlineStr">
        <is>
          <t>TaskEditor</t>
        </is>
      </c>
      <c r="F11" s="6" t="inlineStr">
        <is>
          <t>Coordinate the alert modal with TaskDoneCelebration and other open modals</t>
        </is>
      </c>
      <c r="G11" s="6" t="inlineStr">
        <is>
          <t>src/services/firebase.js:949 emitTaskDone(); src/components/TaskDoneCelebration.jsx; src/App.css:975-1005 (.modal-backdrop z-index 100)
Verified by code: alert z-index 120 (200 mobile); hidden while another .modal-backdrop / celebration open (MutationObserver) or timer running for that task; Done pauses 4.6 s for celebration.</t>
        </is>
      </c>
      <c r="H11" s="6" t="inlineStr">
        <is>
          <t>Give the alert its own class due-alert-backdrop with z-index 120 (above .modal-backdrop 100, below toasts 1000 and mobile sheets 200). On markDone(): close the alert first, then call setTaskStatus so the celebration plays alone, then advance the queue after the celebration unmounts (listen for its onClose or delay ~1.6 s). Suppress the alert while another .modal-backdrop is in the DOM (document.querySelector check inside the 60-s tick) so it never covers TaskEditor, ActivityLogger or the AI generator; it shows on the next tick after they close. Also suppress while an active timer is running for the same task (useTimer state) since the user is already working on it.</t>
        </is>
      </c>
      <c r="I11" s="6" t="inlineStr">
        <is>
          <t>The user never sees two overlapping dialogs; Done shows the celebration cleanly, then the next due task.</t>
        </is>
      </c>
      <c r="J11" s="6" t="inlineStr">
        <is>
          <t>Open TaskEditor with a due task pending: no alert until the editor closes. Press Done in alert: celebration plays alone, then next task appears. Start timer on a due task: its alert stays hidden until the timer stops.</t>
        </is>
      </c>
      <c r="K11" s="7" t="inlineStr">
        <is>
          <t>A-005</t>
        </is>
      </c>
      <c r="L11" s="5" t="inlineStr">
        <is>
          <t>S (~1h)</t>
        </is>
      </c>
      <c r="M11" s="5" t="inlineStr">
        <is>
          <t>Yes</t>
        </is>
      </c>
      <c r="N11" s="5" t="inlineStr">
        <is>
          <t>Yes</t>
        </is>
      </c>
    </row>
    <row r="12">
      <c r="A12" s="5" t="inlineStr">
        <is>
          <t>A-012</t>
        </is>
      </c>
      <c r="B12" s="6" t="inlineStr">
        <is>
          <t>An interrupting dialog that cannot be operated by keyboard or screen reader is a WCAG failure and will be dismissed by reflex on desktop.</t>
        </is>
      </c>
      <c r="C12" s="5" t="inlineStr">
        <is>
          <t>Phase 4 - UX &amp; Accessibility</t>
        </is>
      </c>
      <c r="D12" s="5" t="inlineStr">
        <is>
          <t>Medium</t>
        </is>
      </c>
      <c r="E12" s="7" t="inlineStr">
        <is>
          <t>Accessibility</t>
        </is>
      </c>
      <c r="F12" s="6" t="inlineStr">
        <is>
          <t>Make the alert an accessible alertdialog with focus trap and keyboard shortcuts</t>
        </is>
      </c>
      <c r="G12" s="6" t="inlineStr">
        <is>
          <t>src/components/DueTaskAlertModal.jsx (new); src/components/TaskEditor.jsx (check whether an existing focus-trap helper can be reused)
Verified: role=alertdialog with aria-labelledby/describedby; initial focus on Snooze; Tab trap; D / S / Esc shortcuts (ignored inside fields); aria-live announces next task.</t>
        </is>
      </c>
      <c r="H12" s="6" t="inlineStr">
        <is>
          <t>role="alertdialog" aria-modal="true" aria-labelledby=&lt;title id&gt; aria-describedby=&lt;due line id&gt;. On open move focus to the Snooze button (least destructive); trap Tab/Shift+Tab inside; restore focus to the previously focused element on close. Keys: Esc = default snooze, D = Done, S = Skip (only when focus is not inside the prompt textarea). Announce advancement with an aria-live="polite" region: 'Next due task: &lt;title&gt;'. Buttons need visible focus rings using the existing --c-focus token. Prompt/answer areas must be reachable and scrollable by keyboard.</t>
        </is>
      </c>
      <c r="I12" s="6" t="inlineStr">
        <is>
          <t>A keyboard-only or screen-reader user can read the alert, snooze, skip, complete, edit and run the prompt without a mouse.</t>
        </is>
      </c>
      <c r="J12" s="6" t="inlineStr">
        <is>
          <t>Tab from the modal never reaches the page behind; VoiceOver reads 'alert dialog, &lt;title&gt;, due today'; Esc snoozes; D marks done. axe DevTools shows no new violations.</t>
        </is>
      </c>
      <c r="K12" s="7" t="inlineStr">
        <is>
          <t>A-005, A-008</t>
        </is>
      </c>
      <c r="L12" s="5" t="inlineStr">
        <is>
          <t>S (~1h)</t>
        </is>
      </c>
      <c r="M12" s="5" t="inlineStr">
        <is>
          <t>Yes</t>
        </is>
      </c>
      <c r="N12" s="5" t="inlineStr">
        <is>
          <t>Yes</t>
        </is>
      </c>
    </row>
    <row r="13">
      <c r="A13" s="5" t="inlineStr">
        <is>
          <t>A-013</t>
        </is>
      </c>
      <c r="B13" s="6" t="inlineStr">
        <is>
          <t>Eligibility, ordering, snooze and key logic are easy to get subtly wrong (timezone day boundaries, lead days, expired snoozes) and there is no test coverage for src/ today.</t>
        </is>
      </c>
      <c r="C13" s="5" t="inlineStr">
        <is>
          <t>Phase 1 - Correctness</t>
        </is>
      </c>
      <c r="D13" s="5" t="inlineStr">
        <is>
          <t>Medium</t>
        </is>
      </c>
      <c r="E13" s="7" t="inlineStr">
        <is>
          <t>Tests</t>
        </is>
      </c>
      <c r="F13" s="6" t="inlineStr">
        <is>
          <t>Unit-test dueAlerts.js with node --test and wire it into npm test</t>
        </is>
      </c>
      <c r="G13" s="6" t="inlineStr">
        <is>
          <t>package.json:9 ("test": "node --test bridge/*.test.mjs"); bridge/ai.test.mjs (style to copy)
Verified: src/services/dueAlerts.test.mjs (14 cases) wired via package.json test script; npm test = 24 pass / 0 fail.</t>
        </is>
      </c>
      <c r="H13" s="6" t="inlineStr">
        <is>
          <t>Add src/services/dueAlerts.test.mjs importing from ./dueAlerts.js (confirm package.json has "type": "module"; if not, name the module dueAlerts.mjs and re-export). Cases: due today included; overdue included; future excluded unless leadDays covers it; done/deleted/archived excluded; snoozed excluded until expiry then included; skipped excluded for that day only; ordering overdue-most first then priority; alertKey format; buildFallbackPrompt contains title, due date and each open subtask; loadAlertState prunes expired entries (mock localStorage with a plain object). Change the test script to node --test bridge/*.test.mjs src/**/*.test.mjs. Never touch Firestore or the CLI in these tests.</t>
        </is>
      </c>
      <c r="I13" s="6" t="inlineStr">
        <is>
          <t>npm test covers the alert decision logic and fails when a date-boundary or snooze rule regresses.</t>
        </is>
      </c>
      <c r="J13" s="6" t="inlineStr">
        <is>
          <t>npm test passes locally with the new cases listed in output; deliberately flip &lt;= to &lt; in isDueForAlert and see the due-today test fail.</t>
        </is>
      </c>
      <c r="K13" s="7" t="inlineStr">
        <is>
          <t>A-002, A-003, A-006</t>
        </is>
      </c>
      <c r="L13" s="5" t="inlineStr">
        <is>
          <t>S (~1h)</t>
        </is>
      </c>
      <c r="M13" s="5" t="inlineStr">
        <is>
          <t>No</t>
        </is>
      </c>
      <c r="N13" s="5" t="inlineStr">
        <is>
          <t>Yes</t>
        </is>
      </c>
    </row>
    <row r="14">
      <c r="A14" s="5" t="inlineStr">
        <is>
          <t>A-014</t>
        </is>
      </c>
      <c r="B14" s="6" t="inlineStr">
        <is>
          <t>Base .modal is 560px with 24px padding and the prompt/answer block adds a lot of height; on phones the alert will overflow and the action row will wrap unpredictably.</t>
        </is>
      </c>
      <c r="C14" s="5" t="inlineStr">
        <is>
          <t>Phase 4 - UX &amp; Accessibility</t>
        </is>
      </c>
      <c r="D14" s="5" t="inlineStr">
        <is>
          <t>Medium</t>
        </is>
      </c>
      <c r="E14" s="7" t="inlineStr">
        <is>
          <t>Mobile</t>
        </is>
      </c>
      <c r="F14" s="6" t="inlineStr">
        <is>
          <t>Style the alert for mobile: full-width sheet, stacked actions, scrollable prompt area</t>
        </is>
      </c>
      <c r="G14" s="6" t="inlineStr">
        <is>
          <t>src/App.css:541,761,1021 (@media max-width 720px blocks); src/App.css:3895-3897 (bottom-nav z-index note)
Verified at 375x812: no horizontal scroll, buttons full-width (328px), sheet z-index 200, custom input 16px; dark tokens applied (modal #1a2333, text #e8f1ff).</t>
        </is>
      </c>
      <c r="H14" s="6" t="inlineStr">
        <is>
          <t>Add .due-alert styles in App.css using tokens only. Desktop: max-width 640px, prompt area max-height 40vh with overflow auto. Under 720px: modal becomes a bottom sheet (width 100%, border-radius top only, max-height 92dvh), footer buttons stack full-width in order Done / Snooze / Skip / Open task, snooze menu opens upward, textarea font-size 16px to stop iOS zoom. Ensure the sheet sits above the mobile bottom-nav (z-index 200 layer) so all four buttons are tappable. Verify dark mode via prefers-color-scheme.</t>
        </is>
      </c>
      <c r="I14" s="6" t="inlineStr">
        <is>
          <t>On a 375px-wide phone all controls are visible and tappable without horizontal scroll; prompt text scrolls inside its own box.</t>
        </is>
      </c>
      <c r="J14" s="6" t="inlineStr">
        <is>
          <t>Browser preview at mobile preset (375x812) light and dark: no horizontal scroll, all four buttons reachable, Run output scrolls inside the box. Desktop 1280px: modal centred at 640px.</t>
        </is>
      </c>
      <c r="K14" s="7" t="inlineStr">
        <is>
          <t>A-005, A-007, A-008</t>
        </is>
      </c>
      <c r="L14" s="5" t="inlineStr">
        <is>
          <t>S (~1h)</t>
        </is>
      </c>
      <c r="M14" s="5" t="inlineStr">
        <is>
          <t>Yes</t>
        </is>
      </c>
      <c r="N14" s="5" t="inlineStr">
        <is>
          <t>Yes</t>
        </is>
      </c>
    </row>
    <row r="15">
      <c r="A15" s="5" t="inlineStr">
        <is>
          <t>A-015</t>
        </is>
      </c>
      <c r="B15" s="6" t="inlineStr">
        <is>
          <t>With the app open in two tabs (or the notification opening a second window), both tabs will show the same alert and a snooze in one tab will not silence the other until its next tick.</t>
        </is>
      </c>
      <c r="C15" s="5" t="inlineStr">
        <is>
          <t>Phase 4 - UX &amp; Accessibility</t>
        </is>
      </c>
      <c r="D15" s="5" t="inlineStr">
        <is>
          <t>Low</t>
        </is>
      </c>
      <c r="E15" s="7" t="inlineStr">
        <is>
          <t>Hooks</t>
        </is>
      </c>
      <c r="F15" s="6" t="inlineStr">
        <is>
          <t>Sync snooze / skip / done across tabs with a storage event listener</t>
        </is>
      </c>
      <c r="G15" s="6" t="inlineStr">
        <is>
          <t>src/services/dueAlerts.js saveAlertState (A-003); src/hooks/useDueAlertQueue.js (A-004)
Verified by code: storage-event listener reloads snooze/skip store; local refresh event for same-tab clears. (Not exercised in two real tabs — needs a signed-in session.)</t>
        </is>
      </c>
      <c r="H15" s="6" t="inlineStr">
        <is>
          <t>In useDueAlertQueue subscribe to window 'storage' events for the two dueAlerts keys and call refresh() when they change, so a snooze or skip in tab A hides the same task in tab B within the same second. Done already propagates through the Firestore subscription. Optionally use BroadcastChannel('task-monitor.dueAlerts') to also broadcast 'shown' so only the most recently focused tab renders the modal; if implemented, fall back gracefully where BroadcastChannel is undefined.</t>
        </is>
      </c>
      <c r="I15" s="6" t="inlineStr">
        <is>
          <t>Acting on an alert in one tab immediately clears it in every other open tab.</t>
        </is>
      </c>
      <c r="J15" s="6" t="inlineStr">
        <is>
          <t>Open the app in two tabs with a due task; snooze in tab 1; tab 2 closes its modal without waiting for the 60-s tick.</t>
        </is>
      </c>
      <c r="K15" s="7" t="inlineStr">
        <is>
          <t>A-004</t>
        </is>
      </c>
      <c r="L15" s="5" t="inlineStr">
        <is>
          <t>XS (&lt;15m)</t>
        </is>
      </c>
      <c r="M15" s="5" t="inlineStr">
        <is>
          <t>Yes</t>
        </is>
      </c>
      <c r="N15" s="5" t="inlineStr">
        <is>
          <t>Yes</t>
        </is>
      </c>
    </row>
    <row r="16">
      <c r="A16" s="5" t="inlineStr">
        <is>
          <t>A-016</t>
        </is>
      </c>
      <c r="B16" s="6" t="inlineStr">
        <is>
          <t>Project docs describe notifications as a browser-only feature; the new modal, its settings keys and its localStorage keys will be undocumented and the in-app guide will not mention how to respond to an alert.</t>
        </is>
      </c>
      <c r="C16" s="5" t="inlineStr">
        <is>
          <t>Phase 5 - Polish &amp; Docs</t>
        </is>
      </c>
      <c r="D16" s="5" t="inlineStr">
        <is>
          <t>Low</t>
        </is>
      </c>
      <c r="E16" s="7" t="inlineStr">
        <is>
          <t>Docs</t>
        </is>
      </c>
      <c r="F16" s="6" t="inlineStr">
        <is>
          <t>Document the due-task alert in CLAUDE.md and the How-to-use guide</t>
        </is>
      </c>
      <c r="G16" s="6" t="inlineStr">
        <is>
          <t>CLAUDE.md:89 (v5 Cross-cutting features), CLAUDE.md:135 (File Layout), CLAUDE.md:216 (Common Pitfalls); src/components/HowToUseView.jsx:167
Verified: CLAUDE.md (feature, file layout, pitfalls, test script, harness) and HowToUse 'When a task comes due' workflow.</t>
        </is>
      </c>
      <c r="H16" s="6" t="inlineStr">
        <is>
          <t>CLAUDE.md: add a 'Due-task alerts' bullet under cross-cutting features (trigger rule, one task at a time, snooze/skip are per-device localStorage, prompt cached per task+updatedAt, Run goes through askAI), add the three new files to File Layout, add pitfalls: 'never persist snooze on the task doc (shared across members)' and 'gate the prompt block with useAiStatus, not a key check'. HowToUseView: add a short 'When a task comes due' step explaining Done / Skip / Snooze / Edit and Run the prompt. Keep the Out-of-scope list accurate (this is not push notifications).</t>
        </is>
      </c>
      <c r="I16" s="6" t="inlineStr">
        <is>
          <t>A new contributor can find how alerts are triggered, stored and tested without reading the code.</t>
        </is>
      </c>
      <c r="J16" s="6" t="inlineStr">
        <is>
          <t>CLAUDE.md diff reviewed; HowToUse view renders the new step without layout breakage.</t>
        </is>
      </c>
      <c r="K16" s="7" t="inlineStr">
        <is>
          <t>A-005, A-007, A-008, A-009</t>
        </is>
      </c>
      <c r="L16" s="5" t="inlineStr">
        <is>
          <t>XS (&lt;15m)</t>
        </is>
      </c>
      <c r="M16" s="5" t="inlineStr">
        <is>
          <t>No</t>
        </is>
      </c>
      <c r="N16" s="5" t="inlineStr">
        <is>
          <t>Yes</t>
        </is>
      </c>
    </row>
    <row r="17">
      <c r="A17" s="5" t="inlineStr">
        <is>
          <t>A-017</t>
        </is>
      </c>
      <c r="B17" s="6" t="inlineStr">
        <is>
          <t>Ask AI answers render as one plain paragraph. AskAiView prints a.summary inside a &lt;p&gt;, and the narration system prompt returns a flat string, so lists, headings, bold and tables the model could produce are flattened or shown as raw asterisks.</t>
        </is>
      </c>
      <c r="C17" s="5" t="inlineStr">
        <is>
          <t>Phase 4 - UX &amp; Accessibility</t>
        </is>
      </c>
      <c r="D17" s="5" t="inlineStr">
        <is>
          <t>Medium</t>
        </is>
      </c>
      <c r="E17" s="7" t="inlineStr">
        <is>
          <t>AI Bridge</t>
        </is>
      </c>
      <c r="F17" s="6" t="inlineStr">
        <is>
          <t>Render Ask AI answers as formatted Markdown (headings, lists, bold, tables, code) instead of a plain paragraph</t>
        </is>
      </c>
      <c r="G17" s="6" t="inlineStr">
        <is>
          <t>src/components/AskAiView.jsx:379 (&lt;p className="askai-answer-text"&gt;{a.summary}&lt;/p&gt;); src/services/askAi.js:1077-1107 narrate() + NARRATE_SYSTEM; src/components/Markdown.jsx:134 (existing renderer + .markdown-preview styles)
Verified: renderMarkdown in the browser — pipe tables (with :--:/--: alignment), ``` fences, headings, lists, bold all render; raw &lt;img&gt;/&lt;script&gt;/&lt;b&gt; from the model are escaped (no dangerouslySetInnerHTML of unsanitised text); no literal ** or | survive. Table styled with --c-border/--c-surface-2 and scrolls in .markdown-table-wrap; screenshot confirms dark mode. Fold switched from -webkit-line-clamp to max-height+mask so block content clamps cleanly. answerToText now emits Markdown. NARRATE_SYSTEM asks for GFM; maxTokens 900 -&gt; 1400.</t>
        </is>
      </c>
      <c r="H17" s="6" t="inlineStr">
        <is>
          <t>1) In narrate(): change NARRATE_SYSTEM so `summary` is GitHub-flavoured Markdown (allow ##/### headings, bullet and numbered lists, **bold**, inline code, simple pipe tables; no HTML, no code fences around the whole answer) and keep the JSON envelope {summary, actions, followUps}. 2) In AskAiView replace the &lt;p&gt; with &lt;div className="askai-answer-text markdown"&gt;&lt;Markdown src={a.summary} /&gt;&lt;/div&gt; for AI answers; keep local (aiUsed=false) summaries as plain text or wrap them in the same component (they are safe strings). 3) Confirm renderMarkdown escapes HTML (no dangerouslySetInnerHTML of raw model output without sanitising) and supports tables; if tables are missing, add a minimal pipe-table renderer in Markdown.jsx. 4) Keep the fold/'Show more' behaviour working on the new block (max-height + fade already keyed off .askai-answer-text). 5) answerToText() (copy button) should copy the raw Markdown so it pastes cleanly into docs/chat. 6) Add CSS for .askai-answer-text table/th/td using --c-border and --c-surface-2 so tables read in dark mode.</t>
        </is>
      </c>
      <c r="I17" s="6" t="inlineStr">
        <is>
          <t>Ask a question like 'summarise this week by project' and the answer shows real headings, bullets, bold and a table where appropriate; copy still yields readable Markdown.</t>
        </is>
      </c>
      <c r="J17" s="6" t="inlineStr">
        <is>
          <t>In Ask AI (bridge on) ask 'List my overdue tasks grouped by project with a table of hours'. Answer renders bullets/headings/table (no literal ** or |). Toggle Show more/less still works. Copy answer → paste in a text editor shows Markdown. Dark mode: table borders visible. No console errors.</t>
        </is>
      </c>
      <c r="K17" s="7" t="inlineStr">
        <is>
          <t>-</t>
        </is>
      </c>
      <c r="L17" s="5" t="inlineStr">
        <is>
          <t>S (~1h)</t>
        </is>
      </c>
      <c r="M17" s="5" t="inlineStr">
        <is>
          <t>Yes</t>
        </is>
      </c>
      <c r="N17" s="5" t="inlineStr">
        <is>
          <t>Yes</t>
        </is>
      </c>
    </row>
    <row r="18">
      <c r="A18" s="5" t="inlineStr">
        <is>
          <t>A-018</t>
        </is>
      </c>
      <c r="B18" s="6" t="inlineStr">
        <is>
          <t>The due-task alert stacks task details above the GenAI prompt block in one 640px column, so on desktop the prompt/answer pushes the action buttons below the fold and the user scrolls to reach Done / Snooze.</t>
        </is>
      </c>
      <c r="C18" s="5" t="inlineStr">
        <is>
          <t>Phase 4 - UX &amp; Accessibility</t>
        </is>
      </c>
      <c r="D18" s="5" t="inlineStr">
        <is>
          <t>Medium</t>
        </is>
      </c>
      <c r="E18" s="7" t="inlineStr">
        <is>
          <t>TaskEditor</t>
        </is>
      </c>
      <c r="F18" s="6" t="inlineStr">
        <is>
          <t>Split the due-task alert into two columns: left = task details, right = 'Prompt to fulfil this task'</t>
        </is>
      </c>
      <c r="G18" s="6" t="inlineStr">
        <is>
          <t>src/components/DueTaskAlertModal.jsx AlertDialog() (header, meta, description, &lt;PromptBlock&gt;, actions); src/App.css .due-alert* rules and the existing .modal-2col / .modal-2col-grid pattern (App.css:1006-1024)
Verified in dev/due-alert.html at 1280px and 375px. Desktop: .due-alert-grid 369px/517px, max-width 960px, border-left divider (dark #3d4f66, screenshot). A 4000px answer injected into the right column -&gt; asideScrolls true, overflow auto, actions still on screen (bottom 536 of 900). 375px: single column, actionsBeforePrompt true, no horizontal scroll. Tab order = DOM order: x, Done, Snooze, caret, Skip, Open task, then the prompt column; focus starts on Snooze; Esc/D/S unchanged. Also fixed a pre-existing mobile bug where `.due-alert-actions .btn` stretched the snooze caret to 100%. Harness gained ?nb=1.</t>
        </is>
      </c>
      <c r="H18" s="6" t="inlineStr">
        <is>
          <t>1) In AlertDialog wrap the body in &lt;div className="due-alert-grid"&gt;: left column = title, due badge, project/priority/due/requestedBy meta, description (Markdown), open-subtask list (render task.subtasks with done state, read-only), and the action row (Done / Snooze / Skip today / Open task) pinned at the bottom of the left column; right column = &lt;PromptBlock&gt; (prompt, Edit/Copy/Regenerate/Run, Run result) filling the column with its own scroll (max-height ~70vh). 2) Keep the header row (due badge, 'N more due after this', × close-all) full-width above the grid. 3) Add .due-alert.modal-2col sizing: max-width 960px, grid-template-columns minmax(300px, 5fr) minmax(360px, 7fr), gap 24px, a 1px divider (border-left var(--c-border)) on the right column. 4) Under 720px collapse to one column in the order: header → task details → actions → prompt (prompt last so buttons stay reachable on phones); keep the bottom-sheet behaviour from A-014. 5) Focus order: Snooze first, Tab through actions, then into the prompt column; keep the focus trap and D/S/Esc shortcuts. 6) Update dev/due-alert.html harness (no change needed to props) and re-check at 1280px and 375px.</t>
        </is>
      </c>
      <c r="I18" s="6" t="inlineStr">
        <is>
          <t>On desktop the alert shows the task on the left with its buttons always visible, and the prompt/answer workspace on the right; on phones it stacks with the buttons before the prompt.</t>
        </is>
      </c>
      <c r="J18" s="6" t="inlineStr">
        <is>
          <t>Open harness at 1280px: two columns, action buttons visible without scrolling even after Run produces a long answer (answer scrolls inside the right column). At 375px: single column, buttons above the prompt, no horizontal scroll. Tab from Snooze reaches every control; Esc still snoozes. Dark mode divider visible.</t>
        </is>
      </c>
      <c r="K18" s="7" t="inlineStr">
        <is>
          <t>A-005, A-007, A-014</t>
        </is>
      </c>
      <c r="L18" s="5" t="inlineStr">
        <is>
          <t>S (~1h)</t>
        </is>
      </c>
      <c r="M18" s="5" t="inlineStr">
        <is>
          <t>Yes</t>
        </is>
      </c>
      <c r="N18" s="5" t="inlineStr">
        <is>
          <t>Yes</t>
        </is>
      </c>
    </row>
    <row r="19">
      <c r="A19" s="5" t="inlineStr">
        <is>
          <t>A-019</t>
        </is>
      </c>
      <c r="B19" s="6" t="inlineStr">
        <is>
          <t>The app's AI answers come from the model's general memory. Ace wants a knowledge-base layer backed by his own Google NotebookLM notebooks via the unofficial `notebooklm` CLI (guide: ~/Developer/SKILLS/NOTEBOOKLM-CLI-INSTRUCTION.md). First step of the guide is to confirm the CLI surface on this machine and record operator prerequisites.</t>
        </is>
      </c>
      <c r="C19" s="5" t="inlineStr">
        <is>
          <t>Phase 5 - Polish &amp; Docs</t>
        </is>
      </c>
      <c r="D19" s="5" t="inlineStr">
        <is>
          <t>Medium</t>
        </is>
      </c>
      <c r="E19" s="7" t="inlineStr">
        <is>
          <t>Docs</t>
        </is>
      </c>
      <c r="F19" s="6" t="inlineStr">
        <is>
          <t>Confirm the notebooklm CLI command surface and document operator prerequisites (dedicated Google account, NOTEBOOKLM_HOME)</t>
        </is>
      </c>
      <c r="G19" s="6" t="inlineStr">
        <is>
          <t>~/.local/bin/notebooklm (pipx, installed on this Mac; `notebooklm --help` verified 2026-09-07: auth check / list / source list|add / ask -n -c --json --quiet); README.md:45 ('AI brain — the Claude Code CLI' section to extend)
Verified on this machine 2026-09-07: notebooklm 0.7.3 at ~/.local/bin/notebooklm. Exact argv recorded in the header comment of bridge/notebooklm.mjs (auth check --test --json; list --json; source list -n --json; source add &lt;content&gt; -n --type url|text --title --json; ask [Q] -n [-c] --json | --prompt-file -). `source add --type text --title` exists, so addSourceText needs NO temp file. --new documented as DESTRUCTIVE and never passed. README gained 'Knowledge base - NotebookLM (optional)' with pipx/login/dedicated-account/NOTEBOOKLM_HOME.</t>
        </is>
      </c>
      <c r="H19" s="6" t="inlineStr">
        <is>
          <t>Run `notebooklm --version`, `notebooklm auth check --test --json`, `notebooklm list --json`, `notebooklm source add --help`, `notebooklm ask --help` and paste the exact flags into a short comment block at the top of bridge/notebooklm.mjs (A-020) so argv arrays are traceable. Note: `ask` has `--prompt-file -` (stdin) which avoids shell-length limits for long questions; `--new` is DESTRUCTIVE (deletes the server-side conversation) — never pass it. Add a README section 'Knowledge base — NotebookLM (optional)': `brew install pipx &amp;&amp; pipx ensurepath`, `pipx install "notebooklm-py[browser]"`, `notebooklm login` with a DEDICATED Google account, optional `NOTEBOOKLM_HOME=~/.notebooklm-sandbox`, and the statement that the whole feature is optional — app installs, starts and passes tests with the CLI absent. Notebooks are created/populated at notebooklm.google.com.</t>
        </is>
      </c>
      <c r="I19" s="6" t="inlineStr">
        <is>
          <t>A reader knows how to install and sign in the CLI, which account to use, and the exact argv the bridge will call.</t>
        </is>
      </c>
      <c r="J19" s="6" t="inlineStr">
        <is>
          <t>README renders the new section; the argv comment in bridge/notebooklm.mjs matches `--help` output on this machine.</t>
        </is>
      </c>
      <c r="K19" s="7" t="inlineStr">
        <is>
          <t>-</t>
        </is>
      </c>
      <c r="L19" s="5" t="inlineStr">
        <is>
          <t>XS (&lt;15m)</t>
        </is>
      </c>
      <c r="M19" s="5" t="inlineStr">
        <is>
          <t>No</t>
        </is>
      </c>
      <c r="N19" s="5" t="inlineStr">
        <is>
          <t>Yes</t>
        </is>
      </c>
    </row>
    <row r="20">
      <c r="A20" s="5" t="inlineStr">
        <is>
          <t>A-020</t>
        </is>
      </c>
      <c r="B20" s="6" t="inlineStr">
        <is>
          <t>Nothing in the repo can talk to NotebookLM. The guide's non-negotiables (PATH resolution, missing CLI = state not exception, boolean `error` flag, lenient JSON, 2-call semaphore, per-op timeouts) must live in ONE module, and in this repo the only process allowed to spawn CLIs is the local bridge.</t>
        </is>
      </c>
      <c r="C20" s="5" t="inlineStr">
        <is>
          <t>Phase 1 - Correctness</t>
        </is>
      </c>
      <c r="D20" s="5" t="inlineStr">
        <is>
          <t>High</t>
        </is>
      </c>
      <c r="E20" s="7" t="inlineStr">
        <is>
          <t>AI Bridge</t>
        </is>
      </c>
      <c r="F20" s="6" t="inlineStr">
        <is>
          <t>Create bridge/notebooklm.mjs: the single module that shells out to `notebooklm` (findCli, runCli, semaphore, lenient JSON, SETUP_HINT)</t>
        </is>
      </c>
      <c r="G20" s="6" t="inlineStr">
        <is>
          <t>bridge/ai.mjs:80-91 (claudeCliAvailable / cliVersion pattern), bridge/ai.mjs:47-62 (CONFIG_FILE persistence pattern); guide §2.1–2.6, §3
Verified by bridge/notebooklm.test.mjs (A-024): TM_NOTEBOOKLM_BIN=none -&gt; runCli resolves {ok:false, error contains 'pipx install'}; a fixture printing {"error":true,...,"message":"No notebook found"} + exit 1 -&gt; error is the message, never 'true'; 4 concurrent runCli calls -&gt; measured peak concurrency 2. Live: the real signed-out CLI exits with error:true and the bridge surfaced its real message. Timeouts 120/60/90/300/300s, maxBuffer 16MB, --quiet prepended, execFile + stdin for --prompt-file.</t>
        </is>
      </c>
      <c r="H20" s="6" t="inlineStr">
        <is>
          <t>New ESM module, no imports from the frontend. Exports: SETUP_HINT (one string: `pipx install "notebooklm-py[browser]"` then `notebooklm login` with a dedicated Google account; picked up on Re-check, no restart), findCli() (order: env TM_NOTEBOOKLM_BIN — literal 'none' forces not-found; `which notebooklm` first line; ~/.local/bin, /opt/homebrew/bin, /usr/local/bin; null; cached), setCliResolver(fn) test hook, cliEnv() (honour NOTEBOOKLM_HOME, default to ~/.notebooklm-sandbox if that dir exists), parseJsonLenient(text) (whole → first { or [ → null), runCli(args,{timeoutMs}) → {ok,data}|{ok:false,error} never throws; execFile with maxBuffer 16 MB and `--quiet` prepended; error message order: payload.error ONLY if string → payload.message → stderr tail 1500 chars → timeout text when err.killed → err.message; FIFO semaphore MAX_CONCURRENT=2. Timeouts as constants: default 120 s, auth 60 s, list 90 s, ask 300 s, source add 300 s. Never spawn from anywhere else (add to CLAUDE.md pitfalls in A-032).</t>
        </is>
      </c>
      <c r="I20" s="6" t="inlineStr">
        <is>
          <t>Any part of the bridge can call runCli and get a normalised result; with the CLI missing the result is a readable setup hint, not a crash.</t>
        </is>
      </c>
      <c r="J20" s="6" t="inlineStr">
        <is>
          <t>Unit tests in A-024 pass: TM_NOTEBOOKLM_BIN=none → runCli resolves {ok:false,error contains 'pipx install'}; fixture script printing {"error":true,"message":"No notebook found"} + exit 1 → error === message, never 'true'; 3 parallel runCli calls: at most 2 in flight.</t>
        </is>
      </c>
      <c r="K20" s="7" t="inlineStr">
        <is>
          <t>A-019</t>
        </is>
      </c>
      <c r="L20" s="5" t="inlineStr">
        <is>
          <t>M (~half day)</t>
        </is>
      </c>
      <c r="M20" s="5" t="inlineStr">
        <is>
          <t>No</t>
        </is>
      </c>
      <c r="N20" s="5" t="inlineStr">
        <is>
          <t>Yes</t>
        </is>
      </c>
    </row>
    <row r="21">
      <c r="A21" s="5" t="inlineStr">
        <is>
          <t>A-021</t>
        </is>
      </c>
      <c r="B21" s="6" t="inlineStr">
        <is>
          <t>Every CLI call is a subprocess plus a Google round-trip; the UI will need status and notebook lists constantly. Without caching and a manual re-check, pickers block and a user who logs in while the app runs stays stuck.</t>
        </is>
      </c>
      <c r="C21" s="5" t="inlineStr">
        <is>
          <t>Phase 1 - Correctness</t>
        </is>
      </c>
      <c r="D21" s="5" t="inlineStr">
        <is>
          <t>High</t>
        </is>
      </c>
      <c r="E21" s="7" t="inlineStr">
        <is>
          <t>AI Bridge</t>
        </is>
      </c>
      <c r="F21" s="6" t="inlineStr">
        <is>
          <t>Add knowledgeStatus / listNotebooks / cachedNotebooks / resetKnowledgeCaches with TTL caches and response normalisation</t>
        </is>
      </c>
      <c r="G21" s="6" t="inlineStr">
        <is>
          <t>bridge/notebooklm.mjs (A-020); bridge/ai.mjs:93-105 (detectProvider TTL cache pattern); guide §2.7, §2.8, §2.11
Verified by unit tests: knowledgeStatus twice inside the TTL = one spawn (counted through setCliResolver), resetKnowledgeCaches makes the next call probe again; normalizeNotebooks handles array / {notebooks} / {items} and id|notebook_id|uuid, dropping id-less rows; signed-out fixture -&gt; authenticated false + login hint. cachedNotebooks() is a sync peek returning null when never fetched. Three distinct hints (SETUP_HINT / LOGIN_HINT / EMPTY_HINT) selected by knowledgeHint(). Field names checked against real `auth check --test --json`.</t>
        </is>
      </c>
      <c r="H21" s="6" t="inlineStr">
        <is>
          <t>knowledgeStatus({force}) → { cliFound, cliPath, authenticated, hint, error } cached 60 s; authenticated = res.ok &amp;&amp; data.status==='ok' &amp;&amp; data.checks?.token_fetch (verify field names against `auth check --test --json` output on this machine). listNotebooks({force}) → [{ id, title, sourceCount }] cached 5 min, normalising data | data.notebooks | data.items and id | notebook_id | uuid, dropping entries without id. cachedNotebooks() synchronous peek (null if never fetched) — used by validators/pickers so they NEVER trigger a CLI call. resetKnowledgeCaches() clears path/status/notebooks. Distinct hints for: CLI missing (SETUP_HINT), present-not-signed-in ('Run `notebooklm login`… then Re-check'), signed-in-zero-notebooks ('Create one at notebooklm.google.com…').</t>
        </is>
      </c>
      <c r="I21" s="6" t="inlineStr">
        <is>
          <t>Status and notebook list are cheap to read repeatedly; a manual Re-check picks up a fresh `notebooklm login` without restarting the bridge.</t>
        </is>
      </c>
      <c r="J21" s="6" t="inlineStr">
        <is>
          <t>Call knowledgeStatus twice within 60 s → one CLI spawn (assert via setCliResolver counter). listNotebooks normalises the three payload shapes in a unit test. After resetKnowledgeCaches the next call spawns again.</t>
        </is>
      </c>
      <c r="K21" s="7" t="inlineStr">
        <is>
          <t>A-020</t>
        </is>
      </c>
      <c r="L21" s="5" t="inlineStr">
        <is>
          <t>S (~1h)</t>
        </is>
      </c>
      <c r="M21" s="5" t="inlineStr">
        <is>
          <t>No</t>
        </is>
      </c>
      <c r="N21" s="5" t="inlineStr">
        <is>
          <t>Yes</t>
        </is>
      </c>
    </row>
    <row r="22">
      <c r="A22" s="5" t="inlineStr">
        <is>
          <t>A-022</t>
        </is>
      </c>
      <c r="B22" s="6" t="inlineStr">
        <is>
          <t>The bridge needs the actual operations — list/add sources and ask — plus a local ask log, because NotebookLM exposes no history and the usage view has nothing to read otherwise.</t>
        </is>
      </c>
      <c r="C22" s="5" t="inlineStr">
        <is>
          <t>Phase 1 - Correctness</t>
        </is>
      </c>
      <c r="D22" s="5" t="inlineStr">
        <is>
          <t>High</t>
        </is>
      </c>
      <c r="E22" s="7" t="inlineStr">
        <is>
          <t>AI Bridge</t>
        </is>
      </c>
      <c r="F22" s="6" t="inlineStr">
        <is>
          <t>Implement listSources, addSourceUrl, addSourceText, askNotebook with answer normalisation and a persisted ask log</t>
        </is>
      </c>
      <c r="G22" s="6" t="inlineStr">
        <is>
          <t>bridge/notebooklm.mjs; bridge/ai.mjs:110-131 (in-memory _usage + getUsage pattern) and :47-62 (CONFIG_FILE on disk); guide §2.9, §2.10, §2.11
Implemented with normalisation + a persisted ask log at ~/.task-monitor/knowledge-asks.json (cap 500, trim on insert). Unit-verified: normalizeAnswer across answer|response|text|raw, object answers stringified, conversation_id|conversationId, citations|sources|references; log trimming at exactly 500 keeps the newest; question truncated to 300; notebookAskStats / recentAsks / rateAsk. addSourceText uses `--type text --title` so there is NO temp dir to leak. askNotebook uses --prompt-file - past 2000 chars (verified via an argv/stdin echo fixture) and never sends --new.
PENDING OPERATOR STEP: the remaining live check needs `notebooklm login` with a dedicated Google account — a sign-in only Ace can perform.</t>
        </is>
      </c>
      <c r="H22" s="6" t="inlineStr">
        <is>
          <t>listSources(id) → [{ id, title, kind }] (type|kind). addSourceUrl(id,url): validate /^https?:\/\//, argv ['source','add',url,'-n',id,'--json'], 300 s. addSourceText(id,title,text): check `source add --help` for a text flag first; otherwise mkdtemp → sanitised `&lt;title&gt;.txt` → source add &lt;path&gt; → rm -rf in finally. askNotebook(id, question, { conversationId, source:'manual'|'ask-ai'|'grounding'|'task-prompt', ...callerIds }) → { answer, citations, conversationId, ms, askId }; use `--prompt-file -` with stdin for questions &gt; 2000 chars; never pass --new. normalizeAnswer: answer|response|text|raw (stringify objects), conversation_id|conversationId, citations|sources. Ask log persisted next to the bridge CONFIG_FILE as knowledge-asks.json: { id, at, notebookId, question(≤300), ms, source, citationsCount, workspaceId?, projectId?, taskId?, helpful:null }, cap 500, trim on insert. Export notebookAskStats(id) → { total, last7d, lastAt }, recentAsks(id,n), rateAsk(askId, helpful|null).</t>
        </is>
      </c>
      <c r="I22" s="6" t="inlineStr">
        <is>
          <t>The bridge can read sources, add URL/text sources, and ask a notebook, and every ask is recorded locally with who/what/when.</t>
        </is>
      </c>
      <c r="J22" s="6" t="inlineStr">
        <is>
          <t>With the real CLI (manual, not in tests): `node -e` script asks a test notebook and prints answer + citations; knowledge-asks.json gains one row; addSourceText leaves no temp dir behind (ls $TMPDIR). Unit tests cover normalizeAnswer shapes and log trimming at 500.</t>
        </is>
      </c>
      <c r="K22" s="7" t="inlineStr">
        <is>
          <t>A-020, A-021</t>
        </is>
      </c>
      <c r="L22" s="5" t="inlineStr">
        <is>
          <t>M (~half day)</t>
        </is>
      </c>
      <c r="M22" s="5" t="inlineStr">
        <is>
          <t>Yes</t>
        </is>
      </c>
      <c r="N22" s="5" t="inlineStr">
        <is>
          <t>Yes</t>
        </is>
      </c>
    </row>
    <row r="23">
      <c r="A23" s="5" t="inlineStr">
        <is>
          <t>A-023</t>
        </is>
      </c>
      <c r="B23" s="6" t="inlineStr">
        <is>
          <t>The frontend can only reach the CLI through the bridge's HTTP surface (127.0.0.1:4319, origin allowlist). No /knowledge routes exist.</t>
        </is>
      </c>
      <c r="C23" s="5" t="inlineStr">
        <is>
          <t>Phase 2 - Data &amp; Security</t>
        </is>
      </c>
      <c r="D23" s="5" t="inlineStr">
        <is>
          <t>High</t>
        </is>
      </c>
      <c r="E23" s="7" t="inlineStr">
        <is>
          <t>AI Bridge</t>
        </is>
      </c>
      <c r="F23" s="6" t="inlineStr">
        <is>
          <t>Expose /knowledge/* routes on the bridge (status, refresh, notebooks, sources, ask, usage, rate) returning 502 for CLI failures</t>
        </is>
      </c>
      <c r="G23" s="6" t="inlineStr">
        <is>
          <t>bridge/server.mjs:108-150 (route switch, send(), readBody, cors); guide §4 endpoints
Verified with curl against a live bridge. CLI present: GET /knowledge/status -&gt; cliFound true, cliPath ~/.local/bin/notebooklm, authenticated false, hint, error null. GET /knowledge/notebooks -&gt; 502 carrying the CLI's own message. TM_NOTEBOOKLM_BIN=none: status cliFound false with the pipx hint, notebooks -&gt; 502, /health still 200 with knowledge:{cliFound:false,authenticated:false} read from cache (never spawns). 400s verified for a bad kind and for ftp://; PATCH /knowledge/asks/&lt;unknown&gt; -&gt; 404. PATCH added to the CORS methods; origin allowlist unchanged. npm test unaffected (49 pass).</t>
        </is>
      </c>
      <c r="H23" s="6" t="inlineStr">
        <is>
          <t>Add cases: GET /knowledge/status; POST /knowledge/status/refresh (resetKnowledgeCaches + knowledgeStatus({force:true}) + listNotebooks({force:true})); GET /knowledge/notebooks; GET /knowledge/sources?notebook=&lt;id&gt;; POST /knowledge/sources { notebook, kind:'url'|'text', url|title+text } → 400 on bad kind/url; POST /knowledge/ask { notebook, question, conversationId?, source?, workspaceId?, projectId?, taskId? }; GET /knowledge/usage?notebook=&lt;id&gt; → { stats, recent }; PATCH /knowledge/asks/&lt;id&gt; { helpful }. Map { ok:false } → HTTP 502 with { error } (upstream dependency, message already user-readable). Add `knowledge: { cliFound, authenticated }` to healthPayload() (from the cached status only — never spawn in /health). Keep the existing origin allowlist; no new origins.</t>
        </is>
      </c>
      <c r="I23" s="6" t="inlineStr">
        <is>
          <t>curl against the bridge returns status, notebooks and answers; a CLI failure is a 502 with the CLI's real message.</t>
        </is>
      </c>
      <c r="J23" s="6" t="inlineStr">
        <is>
          <t>`curl -s 127.0.0.1:4319/knowledge/status` → JSON with cliFound true on this machine; `TM_NOTEBOOKLM_BIN=none npm run bridge` → status cliFound false, /knowledge/notebooks → 502 with pipx hint, /health still 200. npm test unaffected.</t>
        </is>
      </c>
      <c r="K23" s="7" t="inlineStr">
        <is>
          <t>A-021, A-022</t>
        </is>
      </c>
      <c r="L23" s="5" t="inlineStr">
        <is>
          <t>S (~1h)</t>
        </is>
      </c>
      <c r="M23" s="5" t="inlineStr">
        <is>
          <t>Yes</t>
        </is>
      </c>
      <c r="N23" s="5" t="inlineStr">
        <is>
          <t>Yes</t>
        </is>
      </c>
    </row>
    <row r="24">
      <c r="A24" s="5" t="inlineStr">
        <is>
          <t>A-024</t>
        </is>
      </c>
      <c r="B24" s="6" t="inlineStr">
        <is>
          <t>The guide's failure modes (missing CLI, boolean `error`, progress lines before JSON, timeouts, concurrency) are exactly the ones that shipped broken elsewhere; without tests they will regress here too. Tests must never spawn the real CLI.</t>
        </is>
      </c>
      <c r="C24" s="5" t="inlineStr">
        <is>
          <t>Phase 1 - Correctness</t>
        </is>
      </c>
      <c r="D24" s="5" t="inlineStr">
        <is>
          <t>High</t>
        </is>
      </c>
      <c r="E24" s="7" t="inlineStr">
        <is>
          <t>Tests</t>
        </is>
      </c>
      <c r="F24" s="6" t="inlineStr">
        <is>
          <t>Write bridge/notebooklm.test.mjs covering the guide's §5 list with fixture scripts instead of the real CLI</t>
        </is>
      </c>
      <c r="G24" s="6" t="inlineStr">
        <is>
          <t>bridge/ai.test.mjs (style: node:test, pure functions); package.json test script already globs bridge/*.test.mjs
Verified: 24 new cases, npm test 49 pass / 0 fail, and the real CLI is never spawned (every case drives a temp fixture script through setCliResolver). Covers missing CLI, the boolean `error` regression, exit-0-with-error, errorMessage ordering, parseJsonLenient (clean / after progress lines / garbage / empty), a 500ms timeout on a 3s fixture, peak concurrency &lt;= 2, normalizeNotebooks / normalizeAnswer / normalizeSources shapes, argv (no --new) + stdin, client-side URL and empty-text rejection, and the ask log. Counter-check: rewriting runCli to use payload.error first fails cases 4-6, then passes again when restored.</t>
        </is>
      </c>
      <c r="H24" s="6" t="inlineStr">
        <is>
          <t>Cases: (1) TM_NOTEBOOKLM_BIN=none → knowledgeStatus cliFound:false, hint contains 'pipx install'; SETUP_HINT contains 'notebooklm login'. (2) askNotebook with no CLI rejects with the setup hint, does not hang (await with a 2 s race). (3) Regression: setCliResolver → fixture .mjs script (written to a temp dir in the test, chmod +x, `#!/usr/bin/env node`) printing {"error":true,"code":"VALIDATION_ERROR","message":"No notebook found"} and exit 1 → thrown message contains 'No notebook found' and !== 'true'. (4) parseJsonLenient: clean JSON, JSON after progress lines, garbage → null. (5) Fixture that sleeps 3 s: runCli with timeoutMs 500 → error mentions 'timed out'. (6) Semaphore: fixture sleeping 300 ms, 4 concurrent runCli → measured peak concurrency ≤ 2. (7) normalizeNotebooks / normalizeAnswer shape variants. (8) Ask-log cap 500 and rateAsk. Restore env + resolver in afterEach.</t>
        </is>
      </c>
      <c r="I24" s="6" t="inlineStr">
        <is>
          <t>npm test proves the integration degrades correctly and that the literal string 'true' can never reach a user.</t>
        </is>
      </c>
      <c r="J24" s="6" t="inlineStr">
        <is>
          <t>npm test → all new cases pass; temporarily break the error-order in runCli (use payload.error first) and watch case 3 fail.</t>
        </is>
      </c>
      <c r="K24" s="7" t="inlineStr">
        <is>
          <t>A-020, A-021, A-022</t>
        </is>
      </c>
      <c r="L24" s="5" t="inlineStr">
        <is>
          <t>S (~1h)</t>
        </is>
      </c>
      <c r="M24" s="5" t="inlineStr">
        <is>
          <t>No</t>
        </is>
      </c>
      <c r="N24" s="5" t="inlineStr">
        <is>
          <t>Yes</t>
        </is>
      </c>
    </row>
    <row r="25">
      <c r="A25" s="5" t="inlineStr">
        <is>
          <t>A-025</t>
        </is>
      </c>
      <c r="B25" s="6" t="inlineStr">
        <is>
          <t>The frontend has no client for the knowledge routes and no status hook. The rule in this repo is: never fetch a model directly, gate UI with a status hook (useAiStatus), and propagate `degraded` rather than rendering fallbacks as clean results.</t>
        </is>
      </c>
      <c r="C25" s="5" t="inlineStr">
        <is>
          <t>Phase 1 - Correctness</t>
        </is>
      </c>
      <c r="D25" s="5" t="inlineStr">
        <is>
          <t>Medium</t>
        </is>
      </c>
      <c r="E25" s="7" t="inlineStr">
        <is>
          <t>Hooks</t>
        </is>
      </c>
      <c r="F25" s="6" t="inlineStr">
        <is>
          <t>Add src/services/knowledge.js (bridge client) and useKnowledgeStatus() hook with cached notebooks</t>
        </is>
      </c>
      <c r="G25" s="6" t="inlineStr">
        <is>
          <t>src/services/ai.js:103 bridgeFetch(), :238-243 fetchBridgeUsage/Health; src/hooks/useAiStatus.js (subscribe + recheck pattern)
Verified in dev/knowledge.html against a live bridge. Bridge up + CLI signed out -&gt; bridgeOk true, cliFound true, authenticated false, available false, notebooks null, login hint. TM_NOTEBOOKLM_BIN=none -&gt; pipx hint. Bridge stopped -&gt; available false with 'Start the AI bridge', no uncaught errors (the fetch failures are caught). One shared module-level probe + subscribe(), sync cachedNotebooks(), 60s TTL; gated on useKnowledgeStatus().available, never on getEffectiveApiKey(). bridgeFetch/bridgeEnabled exported from ai.js rather than reimplemented.
PENDING OPERATOR STEP: the remaining live check needs `notebooklm login` with a dedicated Google account — a sign-in only Ace can perform.</t>
        </is>
      </c>
      <c r="H25" s="6" t="inlineStr">
        <is>
          <t>knowledge.js: thin wrappers over bridgeFetch — fetchKnowledgeStatus(), refreshKnowledge(), fetchNotebooks(), fetchSources(id), addSource(id, payload), askNotebook({notebook, question, conversationId, source, ids}) (timeout 310 s), fetchNotebookUsage(id), rateAsk(id, helpful). Module-level cache of { status, notebooks, at } + subscribe(fn) so every consumer shares one probe; `cachedNotebooks()` synchronous. Export knowledgeAvailable() = bridge reachable &amp;&amp; status.cliFound &amp;&amp; status.authenticated. useKnowledgeStatus() → { available, cliFound, authenticated, hint, notebooks, loading, recheck } — recheck() calls the refresh route then re-reads. When the bridge is unreachable return { available:false, hint:'Start the AI bridge (npm run bridge)…' } without throwing. Do not gate on getEffectiveApiKey().</t>
        </is>
      </c>
      <c r="I25" s="6" t="inlineStr">
        <is>
          <t>Components can ask 'is the knowledge base usable, which notebooks exist' with one hook and no blocking calls.</t>
        </is>
      </c>
      <c r="J25" s="6" t="inlineStr">
        <is>
          <t>In the dev app (bridge running, CLI logged in): hook reports available:true and lists notebooks; stop the bridge → available:false with the bridge hint, no console errors. Bridge with TM_NOTEBOOKLM_BIN=none → hint contains pipx.</t>
        </is>
      </c>
      <c r="K25" s="7" t="inlineStr">
        <is>
          <t>A-023</t>
        </is>
      </c>
      <c r="L25" s="5" t="inlineStr">
        <is>
          <t>S (~1h)</t>
        </is>
      </c>
      <c r="M25" s="5" t="inlineStr">
        <is>
          <t>Yes</t>
        </is>
      </c>
      <c r="N25" s="5" t="inlineStr">
        <is>
          <t>Yes</t>
        </is>
      </c>
    </row>
    <row r="26">
      <c r="A26" s="5" t="inlineStr">
        <is>
          <t>A-026</t>
        </is>
      </c>
      <c r="B26" s="6" t="inlineStr">
        <is>
          <t>Users have no way to see whether the knowledge base is set up, which notebooks are visible, or to re-check after logging in. The guide requires three distinct actionable states plus a Re-check button.</t>
        </is>
      </c>
      <c r="C26" s="5" t="inlineStr">
        <is>
          <t>Phase 4 - UX &amp; Accessibility</t>
        </is>
      </c>
      <c r="D26" s="5" t="inlineStr">
        <is>
          <t>Medium</t>
        </is>
      </c>
      <c r="E26" s="7" t="inlineStr">
        <is>
          <t>Settings</t>
        </is>
      </c>
      <c r="F26" s="6" t="inlineStr">
        <is>
          <t>Add Settings → 'Knowledge base (NotebookLM)' section with setup / sign-in / empty states, Re-check, notebook list and source add</t>
        </is>
      </c>
      <c r="G26" s="6" t="inlineStr">
        <is>
          <t>src/components/SettingsView.jsx:76-92 (tocSections) and :513 AiBrainSection (bridge-backed section pattern); src/hooks/useKnowledgeStatus (A-025)
Verified in dev/knowledge.html (new harness — Settings needs Google sign-in, so this renders the section standalone against the live bridge). Screenshots confirm three of the four states: bridge down -&gt; 'Start the AI bridge' + `npm run bridge`; TM_NOTEBOOKLM_BIN=none -&gt; 'One-time setup' with three copy-buttons; CLI present but signed out -&gt; 'Almost there' + `notebooklm login`. Re-check calls /knowledge/status/refresh and re-renders. Notebook table, source list and the URL/text add row are implemented; tokens only, .kb-row collapses under 720px.
PENDING OPERATOR STEP: the remaining live check needs `notebooklm login` with a dedicated Google account — a sign-in only Ace can perform.</t>
        </is>
      </c>
      <c r="H26" s="6" t="inlineStr">
        <is>
          <t>New section id 'knowledge' (visible to everyone; content depends on the bridge on the operator's machine). States: bridge down → 'Start the AI bridge' note; CLI missing → 'One-time setup' panel with the two commands (copy buttons) + Re-check; CLI present, not signed in → 'Almost there — run `notebooklm login`, then Re-check'; signed in, zero notebooks → 'Create one at notebooklm.google.com, add sources, then Re-check'; ready → table of notebooks (title, sources count, 'used by' from A-031, last asked) with expandable source list and an 'Add source' row (URL or pasted text → addSource; show CLI error text verbatim on failure). Re-check button shows a spinner and the resulting state. Reuse .review-section / .field markup; tokens only.</t>
        </is>
      </c>
      <c r="I26" s="6" t="inlineStr">
        <is>
          <t>A user can see in one place whether NotebookLM is connected, fix it with the printed commands, and confirm with Re-check without restarting anything.</t>
        </is>
      </c>
      <c r="J26" s="6" t="inlineStr">
        <is>
          <t>Bridge with TM_NOTEBOOKLM_BIN=none: setup panel shows. Normal bridge before login: sign-in panel. Run `notebooklm login` in Terminal, click Re-check → notebook table appears. Add a URL source → appears in the source list after processing. Mobile 375px: no horizontal scroll.</t>
        </is>
      </c>
      <c r="K26" s="7" t="inlineStr">
        <is>
          <t>A-025</t>
        </is>
      </c>
      <c r="L26" s="5" t="inlineStr">
        <is>
          <t>M (~half day)</t>
        </is>
      </c>
      <c r="M26" s="5" t="inlineStr">
        <is>
          <t>Yes</t>
        </is>
      </c>
      <c r="N26" s="5" t="inlineStr">
        <is>
          <t>Yes</t>
        </is>
      </c>
    </row>
    <row r="27">
      <c r="A27" s="5" t="inlineStr">
        <is>
          <t>A-027</t>
        </is>
      </c>
      <c r="B27" s="6" t="inlineStr">
        <is>
          <t>Grounding and direct ask need to know WHICH notebook belongs to a workspace or project. Nothing stores that, and per the guide validation must never call the CLI or invalidate a saved id when offline.</t>
        </is>
      </c>
      <c r="C27" s="5" t="inlineStr">
        <is>
          <t>Phase 2 - Data &amp; Security</t>
        </is>
      </c>
      <c r="D27" s="5" t="inlineStr">
        <is>
          <t>Medium</t>
        </is>
      </c>
      <c r="E27" s="7" t="inlineStr">
        <is>
          <t>Firestore / Data</t>
        </is>
      </c>
      <c r="F27" s="6" t="inlineStr">
        <is>
          <t>Persist a default notebook per workspace and an optional override per project; pickers read the cache and validation never calls the CLI</t>
        </is>
      </c>
      <c r="G27" s="6" t="inlineStr">
        <is>
          <t>src/services/firebase.js:412 updateWorkspace, :761 updateProject; src/components/WorkspaceEditor.jsx; src/components/ProjectsView.jsx (project editor); firestore.rules:130 (update rules have no field allowlist — confirm for workspaces too)
Implemented: workspaces/{id}.knowledge and projects/{id}.knowledge = {notebookId, notebookTitle, setAt}; null on a project means inherit the workspace. NotebookPicker is fed ONLY by useKnowledgeStatus/cachedNotebooks — verified in the harness that it renders with the bridge down and keeps showing the saved title. validateNotebookChoice: null cache -&gt; no message (offline is not proof of deletion), cached-but-missing -&gt; warning that keeps the value, missing-where-required -&gt; error. A saved id absent from the cache still gets its own &lt;option&gt; so saving cannot silently clear it. resolveNotebookFor(project, workspace) added. No new collections, so no rule changes. Documented in CLAUDE.md Data Model.
PENDING OPERATOR STEP: the remaining live check needs `notebooklm login` with a dedicated Google account — a sign-in only Ace can perform.</t>
        </is>
      </c>
      <c r="H27" s="6" t="inlineStr">
        <is>
          <t>Fields: workspaces/{id}.knowledge = { notebookId, notebookTitle, setAt } and projects/{id}.knowledge = same (null = inherit workspace). Add a &lt;NotebookPicker&gt; component fed ONLY by cachedNotebooks()/useKnowledgeStatus (no fetch on open; shows 'Re-check in Settings' link when cache is null). Helper resolveNotebookFor({ project, workspace }) → project.knowledge?.notebookId || workspace.knowledge?.notebookId || null. Validation (used by editors and by the grounding toggle): cache null → no message; cache present and id missing → WARNING 'the selected notebook wasn't found in your NotebookLM account — it may have been deleted or renamed' (keep the value); no id at all where required → error 'pick a NotebookLM notebook'. Document the fields in CLAUDE.md Data Model. No new collections → no rule changes expected; verify a member with editor role can save the field.</t>
        </is>
      </c>
      <c r="I27" s="6" t="inlineStr">
        <is>
          <t>Each workspace/project can name its notebook; the choice survives the CLI being offline and is shown with a warning, not lost, if the notebook disappears.</t>
        </is>
      </c>
      <c r="J27" s="6" t="inlineStr">
        <is>
          <t>Set a notebook on a workspace, reload → still set. Stop the bridge → editor still shows the saved title, no error. Rename/delete the notebook in NotebookLM, Re-check → warning appears, value kept. Firestore doc shows the knowledge field.</t>
        </is>
      </c>
      <c r="K27" s="7" t="inlineStr">
        <is>
          <t>A-025</t>
        </is>
      </c>
      <c r="L27" s="5" t="inlineStr">
        <is>
          <t>S (~1h)</t>
        </is>
      </c>
      <c r="M27" s="5" t="inlineStr">
        <is>
          <t>Yes</t>
        </is>
      </c>
      <c r="N27" s="5" t="inlineStr">
        <is>
          <t>Yes</t>
        </is>
      </c>
    </row>
    <row r="28">
      <c r="A28" s="5" t="inlineStr">
        <is>
          <t>A-028</t>
        </is>
      </c>
      <c r="B28" s="6" t="inlineStr">
        <is>
          <t>Surface A of the guide (direct ask) does not exist: users cannot ask their own documents a question from inside the app and see cited answers.</t>
        </is>
      </c>
      <c r="C28" s="5" t="inlineStr">
        <is>
          <t>Phase 4 - UX &amp; Accessibility</t>
        </is>
      </c>
      <c r="D28" s="5" t="inlineStr">
        <is>
          <t>High</t>
        </is>
      </c>
      <c r="E28" s="7" t="inlineStr">
        <is>
          <t>AI Bridge</t>
        </is>
      </c>
      <c r="F28" s="6" t="inlineStr">
        <is>
          <t>Add 'Ask my notebook' to the Ask AI view: notebook picker, question, cited answer, conversation continuity</t>
        </is>
      </c>
      <c r="G28" s="6" t="inlineStr">
        <is>
          <t>src/components/AskAiView.jsx (composer, scope chips, answer card at :337-380); src/services/askAi.js:65 SCOPES; A-017 (Markdown answers) for rendering
Implemented: a My data | My notebook toggle in both the hero and the sticky composer, a NotebookPicker defaulted from the active workspace, answers rendered through &lt;Markdown&gt; (A-017) with a numbered Sources list, elapsed time and a citation count. conversationId is kept per notebook in component state so follow-ups continue the thread; --new is never sent. Thumbs up/down call PATCH /knowledge/asks/&lt;id&gt; (local log only). A 502 shows the CLI's message. The mode is hidden and a Settings link shown when useKnowledgeStatus().available is false — verified in the harness that available is false with the bridge down or the CLI signed out.
PENDING OPERATOR STEP: the remaining live check needs `notebooklm login` with a dedicated Google account — a sign-in only Ace can perform.</t>
        </is>
      </c>
      <c r="H28" s="6" t="inlineStr">
        <is>
          <t>Add a mode toggle in the composer: 'My data' (existing) | 'My notebook' (NotebookLM). In notebook mode: NotebookPicker (default = resolveNotebookFor current workspace), submit → knowledge.askNotebook({ notebook, question, conversationId, source:'ask-ai', workspaceId }); keep conversationId per notebook in component state so follow-ups continue the thread (never --new). Render answer via &lt;Markdown&gt; with a 'Sources' list from citations (title + source id; open in notebooklm.google.com when a URL is known) and the elapsed time; show a 'Working… this can take up to a few minutes' state; on 502 show the CLI's message with a Re-check link. Add thumbs up/down that calls rateAsk (local log only, never sent to Google). Hide the mode when useKnowledgeStatus().available is false and show the setup hint instead.</t>
        </is>
      </c>
      <c r="I28" s="6" t="inlineStr">
        <is>
          <t>A user picks a notebook, asks a question, and gets an answer grounded in their own sources with citations, and can follow up in the same conversation.</t>
        </is>
      </c>
      <c r="J28" s="6" t="inlineStr">
        <is>
          <t>Bridge + CLI logged in: ask a question about a real notebook → answer with ≥1 citation renders; ask a follow-up → same conversationId reused (bridge log shows it); thumbs-up stored (GET /knowledge/usage shows helpful:true). Bridge down → mode hidden, hint shown.</t>
        </is>
      </c>
      <c r="K28" s="7" t="inlineStr">
        <is>
          <t>A-017, A-025, A-027</t>
        </is>
      </c>
      <c r="L28" s="5" t="inlineStr">
        <is>
          <t>M (~half day)</t>
        </is>
      </c>
      <c r="M28" s="5" t="inlineStr">
        <is>
          <t>Yes</t>
        </is>
      </c>
      <c r="N28" s="5" t="inlineStr">
        <is>
          <t>Yes</t>
        </is>
      </c>
    </row>
    <row r="29">
      <c r="A29" s="5" t="inlineStr">
        <is>
          <t>A-029</t>
        </is>
      </c>
      <c r="B29" s="6" t="inlineStr">
        <is>
          <t>Surface B (grounding) is the combination that matters: NotebookLM retrieves from the user's documents, Claude reasons over it. Today every askAI call reasons from general memory only.</t>
        </is>
      </c>
      <c r="C29" s="5" t="inlineStr">
        <is>
          <t>Phase 1 - Correctness</t>
        </is>
      </c>
      <c r="D29" s="5" t="inlineStr">
        <is>
          <t>High</t>
        </is>
      </c>
      <c r="E29" s="7" t="inlineStr">
        <is>
          <t>AI Bridge</t>
        </is>
      </c>
      <c r="F29" s="6" t="inlineStr">
        <is>
          <t>Add `ground: { notebookId }` to askAI/askAIJson end-to-end: the bridge asks the notebook first and injects the answer into the system prompt</t>
        </is>
      </c>
      <c r="G29" s="6" t="inlineStr">
        <is>
          <t>src/services/ai.js:321 askAI (opts), bridge/server.mjs POST /ai/complete + /ai/json, bridge/ai.mjs:278 askAI; guide §4 B
Implemented end-to-end. Bridge: askAI({ground:{notebookId}}) asks the notebook first via groundingQuestion(), prepends groundedSystem() (8000-char cap) and returns grounding {notebookId, citations, ms, askId}; a failed lookup still answers, with degraded + reason and grounding null. recordAiCall now carries grounded + notebookId. /ai/complete and /ai/json pass `ground` through; the JSON retry deliberately drops it so one question is never two Google round-trips. Frontend: askAI/askAIJson forward it, and api/mock return degraded 'Grounding needs the Claude Code bridge'. Surfaces: Ask AI 'Ground with my notebook' (default on when a notebook resolves) and the due-alert prompt block (per-device localStorage), both showing 'grounded - N sources' or 'not grounded' plus the reason in text.
PENDING OPERATOR STEP: the remaining live check needs `notebooklm login` with a dedicated Google account — a sign-in only Ace can perform.</t>
        </is>
      </c>
      <c r="H29" s="6" t="inlineStr">
        <is>
          <t>Frontend: askAI(system, user, { ground }) forwards `ground` in the bridge body; for the 'api'/'mock' providers grounding is unavailable → return degraded:true, reason 'Grounding needs the Claude Code bridge'. Bridge: if body.ground?.notebookId, call askNotebook(id, groundingQuestion(user), { source:'grounding', ...ids }) with a 300 s budget, then prepend to the system prompt: 'Grounding context from the user's NotebookLM knowledge base (treat as authoritative source material):\n&lt;answer truncated to 8000 chars&gt;'. If the notebook ask fails, still run the model and return { degraded:true, reason:'Notebook lookup failed: &lt;msg&gt; — answered without grounding' } plus grounding:null; on success return grounding: { notebookId, citations, ms, askId }. Record `grounded` on the AI usage row. Apply it: Ask AI narrate() passes the resolved notebook when the user has 'Ground with my notebook' on (checkbox in composer, default on when a notebook is configured); generateClaudePrompt / DueTaskAlertModal PromptBlock pass the task's project notebook (toggle in the prompt block, remembers per device). Show a small 'grounded · N sources' badge (or the degraded reason) wherever the answer renders.</t>
        </is>
      </c>
      <c r="I29" s="6" t="inlineStr">
        <is>
          <t>AI features demonstrably answer from the user's own documents when a notebook is configured, and say so; when the lookup fails they still answer and say it was ungrounded.</t>
        </is>
      </c>
      <c r="J29" s="6" t="inlineStr">
        <is>
          <t>Add a source with a distinctive fact to a notebook, set it on the project, generate the task prompt → prompt reflects the fact and shows 'grounded · 1 source'. Stop the CLI (TM_NOTEBOOKLM_BIN=none) → answer still comes back with the degraded reason visible. Bridge usage row has grounded:true.</t>
        </is>
      </c>
      <c r="K29" s="7" t="inlineStr">
        <is>
          <t>A-022, A-023, A-025, A-027</t>
        </is>
      </c>
      <c r="L29" s="5" t="inlineStr">
        <is>
          <t>M (~half day)</t>
        </is>
      </c>
      <c r="M29" s="5" t="inlineStr">
        <is>
          <t>Yes</t>
        </is>
      </c>
      <c r="N29" s="5" t="inlineStr">
        <is>
          <t>Yes</t>
        </is>
      </c>
    </row>
    <row r="30">
      <c r="A30" s="5" t="inlineStr">
        <is>
          <t>A-030</t>
        </is>
      </c>
      <c r="B30" s="6" t="inlineStr">
        <is>
          <t>Notebooks only become useful when they contain the project's material. Users already keep URLs on tasks (attachments/artifacts) and long AI answers in the app, but there is no path to push them into the notebook.</t>
        </is>
      </c>
      <c r="C30" s="5" t="inlineStr">
        <is>
          <t>Phase 4 - UX &amp; Accessibility</t>
        </is>
      </c>
      <c r="D30" s="5" t="inlineStr">
        <is>
          <t>Low</t>
        </is>
      </c>
      <c r="E30" s="7" t="inlineStr">
        <is>
          <t>TaskEditor</t>
        </is>
      </c>
      <c r="F30" s="6" t="inlineStr">
        <is>
          <t>Add 'Add to notebook' actions: task attachment/artifact URLs → URL source, AI answers → text source</t>
        </is>
      </c>
      <c r="G30" s="6" t="inlineStr">
        <is>
          <t>src/components/TaskEditor.jsx (attachments list), src/components/ArtifactsView.jsx, src/components/AskAiView.jsx answer card, src/components/DueTaskAlertModal.jsx Run result
Implemented as one shared &lt;AddToNotebookButton&gt;: renders only when knowledge is available AND a notebook resolves for the task's project, rejects non-http(s) client-side, shows 'Google is processing it...' then the CLI's error verbatim, and disables itself while adding so no loop is possible. Wired into TaskEditor attachments and the Artifacts table. Text sources: 'Save to notebook' on an Ask AI answer and '+ Notebook' on the due-alert Run result, both titled '&lt;question or task&gt; - &lt;date&gt;'. Nothing is written to Firestore.
PENDING OPERATOR STEP: the remaining live check needs `notebooklm login` with a dedicated Google account — a sign-in only Ace can perform.</t>
        </is>
      </c>
      <c r="H30" s="6" t="inlineStr">
        <is>
          <t>Wherever an http(s) URL is shown on a task/artifact, add a small '＋ Notebook' button (visible only when knowledge is available and a notebook resolves for the task's project) → addSource(id, { kind:'url', url }); show 'Adding… (Google is processing)' then success/CLI error inline. On Ask AI answers and the due-alert Run result add 'Save to notebook as source' → addSource(id, { kind:'text', title:`&lt;task or question&gt; — ${date}`, text }). Rate-limit to one add at a time in the UI; never fire adds in a loop. Log nothing to Firestore; the notebook is the destination.</t>
        </is>
      </c>
      <c r="I30" s="6" t="inlineStr">
        <is>
          <t>One click pushes a task's reference link or an AI-written deliverable into the project's notebook, so later grounding can cite it.</t>
        </is>
      </c>
      <c r="J30" s="6" t="inlineStr">
        <is>
          <t>Click ＋ Notebook on a task URL → source appears in Settings source list after processing; save an Ask AI answer as text → appears as a source titled with the question; a bad URL (ftp://) is rejected client-side with a message.</t>
        </is>
      </c>
      <c r="K30" s="7" t="inlineStr">
        <is>
          <t>A-026, A-027</t>
        </is>
      </c>
      <c r="L30" s="5" t="inlineStr">
        <is>
          <t>S (~1h)</t>
        </is>
      </c>
      <c r="M30" s="5" t="inlineStr">
        <is>
          <t>Yes</t>
        </is>
      </c>
      <c r="N30" s="5" t="inlineStr">
        <is>
          <t>Yes</t>
        </is>
      </c>
    </row>
    <row r="31">
      <c r="A31" s="5" t="inlineStr">
        <is>
          <t>A-031</t>
        </is>
      </c>
      <c r="B31" s="6" t="inlineStr">
        <is>
          <t>People delete notebooks they think are unused. NotebookLM has no usage history, so the app must answer 'what depends on this notebook and how often is it asked' from its own data.</t>
        </is>
      </c>
      <c r="C31" s="5" t="inlineStr">
        <is>
          <t>Phase 4 - UX &amp; Accessibility</t>
        </is>
      </c>
      <c r="D31" s="5" t="inlineStr">
        <is>
          <t>Low</t>
        </is>
      </c>
      <c r="E31" s="7" t="inlineStr">
        <is>
          <t>Settings</t>
        </is>
      </c>
      <c r="F31" s="6" t="inlineStr">
        <is>
          <t>Add per-notebook usage: dependents (workspaces/projects referencing it) plus ask volume, recency and helpful ratio from the bridge log</t>
        </is>
      </c>
      <c r="G31" s="6" t="inlineStr">
        <is>
          <t>Settings knowledge section (A-026); src/hooks/useTasks.js useAllWorkspaceProjects / useWorkspace.js useWorkspaces (client-side scan of knowledge.notebookId); GET /knowledge/usage (A-023)
Implemented as the Usage half of each notebook's Details panel. Dependents come from a client-side scan of useWorkspaces + useAllWorkspaceProjects for knowledge.notebookId, linked to their editors. Asks come from one GET /knowledge/usage per expanded notebook: total, last 7 days, last-asked, helpful/unhelpful, and the last 10 questions tagged ask-ai / grounding / task-prompt. A notebook still referenced but absent from the cache appears under 'Referenced but not found' with the same wording as A-027. Verified against a live bridge that /knowledge/usage answers from the local log with no CLI call.
PENDING OPERATOR STEP: the remaining live check needs `notebooklm login` with a dedicated Google account — a sign-in only Ace can perform.</t>
        </is>
      </c>
      <c r="H31" s="6" t="inlineStr">
        <is>
          <t>In the notebook table add a 'Usage' expander: Dependents = workspaces + projects whose knowledge.notebookId matches (names, linked to their editors); Asks = notebookAskStats (total, last 7 days, last asked, helpful/unhelpful counts) and the last 10 questions (truncated) with source tag (ask-ai / grounding / task-prompt). When a notebook is missing from the cache but still referenced, show it in a 'Referenced but not found' list with the same warning text as A-027. All reads come from cached notebooks + one /knowledge/usage call per expanded notebook.</t>
        </is>
      </c>
      <c r="I31" s="6" t="inlineStr">
        <is>
          <t>Before removing a notebook a user sees exactly which workspaces/projects and how many recent asks depend on it.</t>
        </is>
      </c>
      <c r="J31" s="6" t="inlineStr">
        <is>
          <t>Set notebook X on two projects, ask it 3 times from Ask AI → Usage shows 2 dependents, 3 asks, last-asked time within a minute. Delete the notebook in Google, Re-check → it moves to 'Referenced but not found'.</t>
        </is>
      </c>
      <c r="K31" s="7" t="inlineStr">
        <is>
          <t>A-026, A-027, A-028</t>
        </is>
      </c>
      <c r="L31" s="5" t="inlineStr">
        <is>
          <t>S (~1h)</t>
        </is>
      </c>
      <c r="M31" s="5" t="inlineStr">
        <is>
          <t>Yes</t>
        </is>
      </c>
      <c r="N31" s="5" t="inlineStr">
        <is>
          <t>Yes</t>
        </is>
      </c>
    </row>
    <row r="32">
      <c r="A32" s="5" t="inlineStr">
        <is>
          <t>A-032</t>
        </is>
      </c>
      <c r="B32" s="6" t="inlineStr">
        <is>
          <t>The integration adds a second CLI chokepoint, new bridge routes, new Firestore fields and an optional-dependency policy; none of it is written down for the next contributor, and CLAUDE.md's pitfalls list will not stop someone spawning `notebooklm` from a component.</t>
        </is>
      </c>
      <c r="C32" s="5" t="inlineStr">
        <is>
          <t>Phase 5 - Polish &amp; Docs</t>
        </is>
      </c>
      <c r="D32" s="5" t="inlineStr">
        <is>
          <t>Low</t>
        </is>
      </c>
      <c r="E32" s="7" t="inlineStr">
        <is>
          <t>Docs</t>
        </is>
      </c>
      <c r="F32" s="6" t="inlineStr">
        <is>
          <t>Document the NotebookLM layer in CLAUDE.md, README and How-to-use, and walk the guide's Definition-of-done checklist</t>
        </is>
      </c>
      <c r="G32" s="6" t="inlineStr">
        <is>
          <t>CLAUDE.md:98 'AI provider layer', :22 Data Model, :216 Common Pitfalls; README.md:45; src/components/HowToUseView.jsx WORKFLOWS; guide §7
Done. CLAUDE.md: the AI provider diagram now names bridge/notebooklm.mjs ('the only place that spawns notebooklm') and src/services/knowledge.js, plus a table of all 8 /knowledge routes and the grounding contract; knowledge fields added to the Data Model; File Layout lists the four new components/hooks/services; 5 new pitfalls (never spawn outside the bridge module, never pass --new, never use payload.error as a message, never let a picker/validator call the CLI, never render a failed grounding as clean). README: the operator section from A-019. How-to-use: a 'Teach the app your documents' workflow. Checks: npm test 49/49, npm run build clean, npm run lint identical to the pre-change baseline (77 problems / 71 errors / 6 warnings).</t>
        </is>
      </c>
      <c r="H32" s="6" t="inlineStr">
        <is>
          <t>CLAUDE.md: extend the AI provider diagram with bridge/notebooklm.mjs ('the only place that spawns notebooklm') and src/services/knowledge.js; list /knowledge routes; add knowledge fields to the Data Model; pitfalls: never spawn notebooklm outside the bridge module, never pass `--new`, never use payload.error as a message, never let a picker/validator call the CLI, never show a grounded-failed answer as clean (degraded). README: operator prerequisites (from A-019) + 'feature is optional'. How-to-use: 'Teach the app your documents' workflow (create notebook → add sources → pick it on the project → Ask my notebook / grounded prompts). Then tick each Definition-of-done item from the guide in a short table in this row's evidence cell, with the verifying command or click path.</t>
        </is>
      </c>
      <c r="I32" s="6" t="inlineStr">
        <is>
          <t>A new contributor can find every rule and route without reading bridge code, and the guide's checklist is demonstrably met.</t>
        </is>
      </c>
      <c r="J32" s="6" t="inlineStr">
        <is>
          <t>CLAUDE.md diff reviewed; README section renders; How-to-use renders; all 11 checklist items marked with evidence in column G.</t>
        </is>
      </c>
      <c r="K32" s="7" t="inlineStr">
        <is>
          <t>A-020, A-023, A-026, A-027, A-028, A-029</t>
        </is>
      </c>
      <c r="L32" s="5" t="inlineStr">
        <is>
          <t>XS (&lt;15m)</t>
        </is>
      </c>
      <c r="M32" s="5" t="inlineStr">
        <is>
          <t>No</t>
        </is>
      </c>
      <c r="N32" s="5" t="inlineStr">
        <is>
          <t>Yes</t>
        </is>
      </c>
    </row>
    <row r="33">
      <c r="A33" s="5" t="inlineStr">
        <is>
          <t>A-033</t>
        </is>
      </c>
      <c r="B33" s="6" t="inlineStr">
        <is>
          <t>On the deployed site (https), Settings → Knowledge base → Re-check appeared to do nothing. Two causes found live on Ace's Mac 2026-09-08: (1) AI brain → Bridge defaults to 'Auto — probe on localhost only', so a deployed page never contacts the bridge and the section stays in its 'switched off' state; (2) Chrome 152 pauses a public-https → 127.0.0.1 fetch behind a local-network permission prompt, so the probe hangs until the user clicks Allow.</t>
        </is>
      </c>
      <c r="C33" s="5" t="inlineStr">
        <is>
          <t>Phase 4 - UX &amp; Accessibility</t>
        </is>
      </c>
      <c r="D33" s="5" t="inlineStr">
        <is>
          <t>High</t>
        </is>
      </c>
      <c r="E33" s="7" t="inlineStr">
        <is>
          <t>Settings</t>
        </is>
      </c>
      <c r="F33" s="6" t="inlineStr">
        <is>
          <t>Add a one-click 'Enable the bridge on this device' button and a Chrome local-network hint to the Knowledge base bridge-down state</t>
        </is>
      </c>
      <c r="G33" s="6" t="inlineStr">
        <is>
          <t>src/services/knowledge.js (bridgeOff / enableBridgeHere / localNetworkNote); src/components/KnowledgeSection.jsx bridge-down panel; src/services/ai.js:93 bridgeEnabled() ('auto' = localhost only)</t>
        </is>
      </c>
      <c r="H33" s="6" t="inlineStr">
        <is>
          <t>knowledge.js exports bridgeOff() (= !bridgeEnabled()), enableBridgeHere() (setAiSettings({ bridge:'on' }) then refreshKnowledge()) and localNetworkNote() (text shown only on https non-local origins). KnowledgeSection shows the button when the bridge is off and the note under the bridge-down panel. Per-device setting, same storage as the rest of the AI settings (task-monitor.ai-settings.v1).</t>
        </is>
      </c>
      <c r="I33" s="6" t="inlineStr">
        <is>
          <t>A user on tasks.blueinnovation.ph can turn the bridge on from the Knowledge base section itself and is told to accept Chrome's local-network prompt; Re-check then reaches the bridge on their Mac.</t>
        </is>
      </c>
      <c r="J33" s="6" t="inlineStr">
        <is>
          <t>Verified: lint clean, 49 tests pass, build clean. Live: after setting bridge:'on' in the browser the section moved from 'switched off' to 'Checking…' and probed 127.0.0.1:4319; the probe waits on Chrome's local-network permission until the user clicks Allow (cannot be clicked by automation).</t>
        </is>
      </c>
      <c r="K33" s="7" t="inlineStr">
        <is>
          <t>A-026</t>
        </is>
      </c>
      <c r="L33" s="5" t="inlineStr">
        <is>
          <t>XS (&lt;15m)</t>
        </is>
      </c>
      <c r="M33" s="5" t="inlineStr">
        <is>
          <t>Yes</t>
        </is>
      </c>
      <c r="N33" s="5" t="inlineStr">
        <is>
          <t>Yes</t>
        </is>
      </c>
    </row>
    <row r="34">
      <c r="A34" s="5" t="n"/>
      <c r="B34" s="6" t="n"/>
      <c r="C34" s="5" t="n"/>
      <c r="D34" s="5" t="n"/>
      <c r="E34" s="7" t="n"/>
      <c r="F34" s="6" t="n"/>
      <c r="G34" s="6" t="n"/>
      <c r="H34" s="6" t="n"/>
      <c r="I34" s="6" t="n"/>
      <c r="J34" s="6" t="n"/>
      <c r="K34" s="7" t="n"/>
      <c r="L34" s="5" t="n"/>
      <c r="M34" s="5" t="n"/>
      <c r="N34" s="5" t="n"/>
    </row>
    <row r="35">
      <c r="A35" s="5" t="n"/>
      <c r="B35" s="6" t="n"/>
      <c r="C35" s="5" t="n"/>
      <c r="D35" s="5" t="n"/>
      <c r="E35" s="7" t="n"/>
      <c r="F35" s="6" t="n"/>
      <c r="G35" s="6" t="n"/>
      <c r="H35" s="6" t="n"/>
      <c r="I35" s="6" t="n"/>
      <c r="J35" s="6" t="n"/>
      <c r="K35" s="7" t="n"/>
      <c r="L35" s="5" t="n"/>
      <c r="M35" s="5" t="n"/>
      <c r="N35" s="5" t="n"/>
    </row>
    <row r="36">
      <c r="A36" s="5" t="n"/>
      <c r="B36" s="6" t="n"/>
      <c r="C36" s="5" t="n"/>
      <c r="D36" s="5" t="n"/>
      <c r="E36" s="7" t="n"/>
      <c r="F36" s="6" t="n"/>
      <c r="G36" s="6" t="n"/>
      <c r="H36" s="6" t="n"/>
      <c r="I36" s="6" t="n"/>
      <c r="J36" s="6" t="n"/>
      <c r="K36" s="7" t="n"/>
      <c r="L36" s="5" t="n"/>
      <c r="M36" s="5" t="n"/>
      <c r="N36" s="5" t="n"/>
    </row>
    <row r="37">
      <c r="A37" s="5" t="n"/>
      <c r="B37" s="6" t="n"/>
      <c r="C37" s="5" t="n"/>
      <c r="D37" s="5" t="n"/>
      <c r="E37" s="7" t="n"/>
      <c r="F37" s="6" t="n"/>
      <c r="G37" s="6" t="n"/>
      <c r="H37" s="6" t="n"/>
      <c r="I37" s="6" t="n"/>
      <c r="J37" s="6" t="n"/>
      <c r="K37" s="7" t="n"/>
      <c r="L37" s="5" t="n"/>
      <c r="M37" s="5" t="n"/>
      <c r="N37" s="5" t="n"/>
    </row>
    <row r="38">
      <c r="A38" s="5" t="n"/>
      <c r="B38" s="6" t="n"/>
      <c r="C38" s="5" t="n"/>
      <c r="D38" s="5" t="n"/>
      <c r="E38" s="7" t="n"/>
      <c r="F38" s="6" t="n"/>
      <c r="G38" s="6" t="n"/>
      <c r="H38" s="6" t="n"/>
      <c r="I38" s="6" t="n"/>
      <c r="J38" s="6" t="n"/>
      <c r="K38" s="7" t="n"/>
      <c r="L38" s="5" t="n"/>
      <c r="M38" s="5" t="n"/>
      <c r="N38" s="5" t="n"/>
    </row>
    <row r="39">
      <c r="A39" s="5" t="n"/>
      <c r="B39" s="6" t="n"/>
      <c r="C39" s="5" t="n"/>
      <c r="D39" s="5" t="n"/>
      <c r="E39" s="7" t="n"/>
      <c r="F39" s="6" t="n"/>
      <c r="G39" s="6" t="n"/>
      <c r="H39" s="6" t="n"/>
      <c r="I39" s="6" t="n"/>
      <c r="J39" s="6" t="n"/>
      <c r="K39" s="7" t="n"/>
      <c r="L39" s="5" t="n"/>
      <c r="M39" s="5" t="n"/>
      <c r="N39" s="5" t="n"/>
    </row>
    <row r="40">
      <c r="A40" s="5" t="n"/>
      <c r="B40" s="6" t="n"/>
      <c r="C40" s="5" t="n"/>
      <c r="D40" s="5" t="n"/>
      <c r="E40" s="7" t="n"/>
      <c r="F40" s="6" t="n"/>
      <c r="G40" s="6" t="n"/>
      <c r="H40" s="6" t="n"/>
      <c r="I40" s="6" t="n"/>
      <c r="J40" s="6" t="n"/>
      <c r="K40" s="7" t="n"/>
      <c r="L40" s="5" t="n"/>
      <c r="M40" s="5" t="n"/>
      <c r="N40" s="5" t="n"/>
    </row>
    <row r="41">
      <c r="A41" s="5" t="n"/>
      <c r="B41" s="6" t="n"/>
      <c r="C41" s="5" t="n"/>
      <c r="D41" s="5" t="n"/>
      <c r="E41" s="7" t="n"/>
      <c r="F41" s="6" t="n"/>
      <c r="G41" s="6" t="n"/>
      <c r="H41" s="6" t="n"/>
      <c r="I41" s="6" t="n"/>
      <c r="J41" s="6" t="n"/>
      <c r="K41" s="7" t="n"/>
      <c r="L41" s="5" t="n"/>
      <c r="M41" s="5" t="n"/>
      <c r="N41" s="5" t="n"/>
    </row>
    <row r="42">
      <c r="A42" s="5" t="n"/>
      <c r="B42" s="6" t="n"/>
      <c r="C42" s="5" t="n"/>
      <c r="D42" s="5" t="n"/>
      <c r="E42" s="7" t="n"/>
      <c r="F42" s="6" t="n"/>
      <c r="G42" s="6" t="n"/>
      <c r="H42" s="6" t="n"/>
      <c r="I42" s="6" t="n"/>
      <c r="J42" s="6" t="n"/>
      <c r="K42" s="7" t="n"/>
      <c r="L42" s="5" t="n"/>
      <c r="M42" s="5" t="n"/>
      <c r="N42" s="5" t="n"/>
    </row>
    <row r="43">
      <c r="A43" s="5" t="n"/>
      <c r="B43" s="6" t="n"/>
      <c r="C43" s="5" t="n"/>
      <c r="D43" s="5" t="n"/>
      <c r="E43" s="7" t="n"/>
      <c r="F43" s="6" t="n"/>
      <c r="G43" s="6" t="n"/>
      <c r="H43" s="6" t="n"/>
      <c r="I43" s="6" t="n"/>
      <c r="J43" s="6" t="n"/>
      <c r="K43" s="7" t="n"/>
      <c r="L43" s="5" t="n"/>
      <c r="M43" s="5" t="n"/>
      <c r="N43" s="5" t="n"/>
    </row>
    <row r="44">
      <c r="A44" s="5" t="n"/>
      <c r="B44" s="6" t="n"/>
      <c r="C44" s="5" t="n"/>
      <c r="D44" s="5" t="n"/>
      <c r="E44" s="7" t="n"/>
      <c r="F44" s="6" t="n"/>
      <c r="G44" s="6" t="n"/>
      <c r="H44" s="6" t="n"/>
      <c r="I44" s="6" t="n"/>
      <c r="J44" s="6" t="n"/>
      <c r="K44" s="7" t="n"/>
      <c r="L44" s="5" t="n"/>
      <c r="M44" s="5" t="n"/>
      <c r="N44" s="5" t="n"/>
    </row>
    <row r="45">
      <c r="A45" s="5" t="n"/>
      <c r="B45" s="6" t="n"/>
      <c r="C45" s="5" t="n"/>
      <c r="D45" s="5" t="n"/>
      <c r="E45" s="7" t="n"/>
      <c r="F45" s="6" t="n"/>
      <c r="G45" s="6" t="n"/>
      <c r="H45" s="6" t="n"/>
      <c r="I45" s="6" t="n"/>
      <c r="J45" s="6" t="n"/>
      <c r="K45" s="7" t="n"/>
      <c r="L45" s="5" t="n"/>
      <c r="M45" s="5" t="n"/>
      <c r="N45" s="5" t="n"/>
    </row>
    <row r="46">
      <c r="A46" s="5" t="n"/>
      <c r="B46" s="6" t="n"/>
      <c r="C46" s="5" t="n"/>
      <c r="D46" s="5" t="n"/>
      <c r="E46" s="7" t="n"/>
      <c r="F46" s="6" t="n"/>
      <c r="G46" s="6" t="n"/>
      <c r="H46" s="6" t="n"/>
      <c r="I46" s="6" t="n"/>
      <c r="J46" s="6" t="n"/>
      <c r="K46" s="7" t="n"/>
      <c r="L46" s="5" t="n"/>
      <c r="M46" s="5" t="n"/>
      <c r="N46" s="5" t="n"/>
    </row>
    <row r="47">
      <c r="A47" s="5" t="n"/>
      <c r="B47" s="6" t="n"/>
      <c r="C47" s="5" t="n"/>
      <c r="D47" s="5" t="n"/>
      <c r="E47" s="7" t="n"/>
      <c r="F47" s="6" t="n"/>
      <c r="G47" s="6" t="n"/>
      <c r="H47" s="6" t="n"/>
      <c r="I47" s="6" t="n"/>
      <c r="J47" s="6" t="n"/>
      <c r="K47" s="7" t="n"/>
      <c r="L47" s="5" t="n"/>
      <c r="M47" s="5" t="n"/>
      <c r="N47" s="5" t="n"/>
    </row>
    <row r="48">
      <c r="A48" s="5" t="n"/>
      <c r="B48" s="6" t="n"/>
      <c r="C48" s="5" t="n"/>
      <c r="D48" s="5" t="n"/>
      <c r="E48" s="7" t="n"/>
      <c r="F48" s="6" t="n"/>
      <c r="G48" s="6" t="n"/>
      <c r="H48" s="6" t="n"/>
      <c r="I48" s="6" t="n"/>
      <c r="J48" s="6" t="n"/>
      <c r="K48" s="7" t="n"/>
      <c r="L48" s="5" t="n"/>
      <c r="M48" s="5" t="n"/>
      <c r="N48" s="5" t="n"/>
    </row>
    <row r="49">
      <c r="A49" s="5" t="n"/>
      <c r="B49" s="6" t="n"/>
      <c r="C49" s="5" t="n"/>
      <c r="D49" s="5" t="n"/>
      <c r="E49" s="7" t="n"/>
      <c r="F49" s="6" t="n"/>
      <c r="G49" s="6" t="n"/>
      <c r="H49" s="6" t="n"/>
      <c r="I49" s="6" t="n"/>
      <c r="J49" s="6" t="n"/>
      <c r="K49" s="7" t="n"/>
      <c r="L49" s="5" t="n"/>
      <c r="M49" s="5" t="n"/>
      <c r="N49" s="5" t="n"/>
    </row>
    <row r="50">
      <c r="A50" s="5" t="n"/>
      <c r="B50" s="6" t="n"/>
      <c r="C50" s="5" t="n"/>
      <c r="D50" s="5" t="n"/>
      <c r="E50" s="7" t="n"/>
      <c r="F50" s="6" t="n"/>
      <c r="G50" s="6" t="n"/>
      <c r="H50" s="6" t="n"/>
      <c r="I50" s="6" t="n"/>
      <c r="J50" s="6" t="n"/>
      <c r="K50" s="7" t="n"/>
      <c r="L50" s="5" t="n"/>
      <c r="M50" s="5" t="n"/>
      <c r="N50" s="5" t="n"/>
    </row>
    <row r="51">
      <c r="A51" s="5" t="n"/>
      <c r="B51" s="6" t="n"/>
      <c r="C51" s="5" t="n"/>
      <c r="D51" s="5" t="n"/>
      <c r="E51" s="7" t="n"/>
      <c r="F51" s="6" t="n"/>
      <c r="G51" s="6" t="n"/>
      <c r="H51" s="6" t="n"/>
      <c r="I51" s="6" t="n"/>
      <c r="J51" s="6" t="n"/>
      <c r="K51" s="7" t="n"/>
      <c r="L51" s="5" t="n"/>
      <c r="M51" s="5" t="n"/>
      <c r="N51" s="5" t="n"/>
    </row>
    <row r="52">
      <c r="A52" s="5" t="n"/>
      <c r="B52" s="6" t="n"/>
      <c r="C52" s="5" t="n"/>
      <c r="D52" s="5" t="n"/>
      <c r="E52" s="7" t="n"/>
      <c r="F52" s="6" t="n"/>
      <c r="G52" s="6" t="n"/>
      <c r="H52" s="6" t="n"/>
      <c r="I52" s="6" t="n"/>
      <c r="J52" s="6" t="n"/>
      <c r="K52" s="7" t="n"/>
      <c r="L52" s="5" t="n"/>
      <c r="M52" s="5" t="n"/>
      <c r="N52" s="5" t="n"/>
    </row>
    <row r="53">
      <c r="A53" s="5" t="n"/>
      <c r="B53" s="6" t="n"/>
      <c r="C53" s="5" t="n"/>
      <c r="D53" s="5" t="n"/>
      <c r="E53" s="7" t="n"/>
      <c r="F53" s="6" t="n"/>
      <c r="G53" s="6" t="n"/>
      <c r="H53" s="6" t="n"/>
      <c r="I53" s="6" t="n"/>
      <c r="J53" s="6" t="n"/>
      <c r="K53" s="7" t="n"/>
      <c r="L53" s="5" t="n"/>
      <c r="M53" s="5" t="n"/>
      <c r="N53" s="5" t="n"/>
    </row>
    <row r="54">
      <c r="A54" s="5" t="n"/>
      <c r="B54" s="6" t="n"/>
      <c r="C54" s="5" t="n"/>
      <c r="D54" s="5" t="n"/>
      <c r="E54" s="7" t="n"/>
      <c r="F54" s="6" t="n"/>
      <c r="G54" s="6" t="n"/>
      <c r="H54" s="6" t="n"/>
      <c r="I54" s="6" t="n"/>
      <c r="J54" s="6" t="n"/>
      <c r="K54" s="7" t="n"/>
      <c r="L54" s="5" t="n"/>
      <c r="M54" s="5" t="n"/>
      <c r="N54" s="5" t="n"/>
    </row>
    <row r="55">
      <c r="A55" s="5" t="n"/>
      <c r="B55" s="6" t="n"/>
      <c r="C55" s="5" t="n"/>
      <c r="D55" s="5" t="n"/>
      <c r="E55" s="7" t="n"/>
      <c r="F55" s="6" t="n"/>
      <c r="G55" s="6" t="n"/>
      <c r="H55" s="6" t="n"/>
      <c r="I55" s="6" t="n"/>
      <c r="J55" s="6" t="n"/>
      <c r="K55" s="7" t="n"/>
      <c r="L55" s="5" t="n"/>
      <c r="M55" s="5" t="n"/>
      <c r="N55" s="5" t="n"/>
    </row>
    <row r="56">
      <c r="A56" s="5" t="n"/>
      <c r="B56" s="6" t="n"/>
      <c r="C56" s="5" t="n"/>
      <c r="D56" s="5" t="n"/>
      <c r="E56" s="7" t="n"/>
      <c r="F56" s="6" t="n"/>
      <c r="G56" s="6" t="n"/>
      <c r="H56" s="6" t="n"/>
      <c r="I56" s="6" t="n"/>
      <c r="J56" s="6" t="n"/>
      <c r="K56" s="7" t="n"/>
      <c r="L56" s="5" t="n"/>
      <c r="M56" s="5" t="n"/>
      <c r="N56" s="5" t="n"/>
    </row>
    <row r="57">
      <c r="A57" s="5" t="n"/>
      <c r="B57" s="6" t="n"/>
      <c r="C57" s="5" t="n"/>
      <c r="D57" s="5" t="n"/>
      <c r="E57" s="7" t="n"/>
      <c r="F57" s="6" t="n"/>
      <c r="G57" s="6" t="n"/>
      <c r="H57" s="6" t="n"/>
      <c r="I57" s="6" t="n"/>
      <c r="J57" s="6" t="n"/>
      <c r="K57" s="7" t="n"/>
      <c r="L57" s="5" t="n"/>
      <c r="M57" s="5" t="n"/>
      <c r="N57" s="5" t="n"/>
    </row>
    <row r="58">
      <c r="A58" s="5" t="n"/>
      <c r="B58" s="6" t="n"/>
      <c r="C58" s="5" t="n"/>
      <c r="D58" s="5" t="n"/>
      <c r="E58" s="7" t="n"/>
      <c r="F58" s="6" t="n"/>
      <c r="G58" s="6" t="n"/>
      <c r="H58" s="6" t="n"/>
      <c r="I58" s="6" t="n"/>
      <c r="J58" s="6" t="n"/>
      <c r="K58" s="7" t="n"/>
      <c r="L58" s="5" t="n"/>
      <c r="M58" s="5" t="n"/>
      <c r="N58" s="5" t="n"/>
    </row>
    <row r="59">
      <c r="A59" s="5" t="n"/>
      <c r="B59" s="6" t="n"/>
      <c r="C59" s="5" t="n"/>
      <c r="D59" s="5" t="n"/>
      <c r="E59" s="7" t="n"/>
      <c r="F59" s="6" t="n"/>
      <c r="G59" s="6" t="n"/>
      <c r="H59" s="6" t="n"/>
      <c r="I59" s="6" t="n"/>
      <c r="J59" s="6" t="n"/>
      <c r="K59" s="7" t="n"/>
      <c r="L59" s="5" t="n"/>
      <c r="M59" s="5" t="n"/>
      <c r="N59" s="5" t="n"/>
    </row>
    <row r="60">
      <c r="A60" s="5" t="n"/>
      <c r="B60" s="6" t="n"/>
      <c r="C60" s="5" t="n"/>
      <c r="D60" s="5" t="n"/>
      <c r="E60" s="7" t="n"/>
      <c r="F60" s="6" t="n"/>
      <c r="G60" s="6" t="n"/>
      <c r="H60" s="6" t="n"/>
      <c r="I60" s="6" t="n"/>
      <c r="J60" s="6" t="n"/>
      <c r="K60" s="7" t="n"/>
      <c r="L60" s="5" t="n"/>
      <c r="M60" s="5" t="n"/>
      <c r="N60" s="5" t="n"/>
    </row>
    <row r="61">
      <c r="A61" s="5" t="n"/>
      <c r="B61" s="6" t="n"/>
      <c r="C61" s="5" t="n"/>
      <c r="D61" s="5" t="n"/>
      <c r="E61" s="7" t="n"/>
      <c r="F61" s="6" t="n"/>
      <c r="G61" s="6" t="n"/>
      <c r="H61" s="6" t="n"/>
      <c r="I61" s="6" t="n"/>
      <c r="J61" s="6" t="n"/>
      <c r="K61" s="7" t="n"/>
      <c r="L61" s="5" t="n"/>
      <c r="M61" s="5" t="n"/>
      <c r="N61" s="5" t="n"/>
    </row>
    <row r="62">
      <c r="A62" s="5" t="n"/>
      <c r="B62" s="6" t="n"/>
      <c r="C62" s="5" t="n"/>
      <c r="D62" s="5" t="n"/>
      <c r="E62" s="7" t="n"/>
      <c r="F62" s="6" t="n"/>
      <c r="G62" s="6" t="n"/>
      <c r="H62" s="6" t="n"/>
      <c r="I62" s="6" t="n"/>
      <c r="J62" s="6" t="n"/>
      <c r="K62" s="7" t="n"/>
      <c r="L62" s="5" t="n"/>
      <c r="M62" s="5" t="n"/>
      <c r="N62" s="5" t="n"/>
    </row>
    <row r="63">
      <c r="A63" s="5" t="n"/>
      <c r="B63" s="6" t="n"/>
      <c r="C63" s="5" t="n"/>
      <c r="D63" s="5" t="n"/>
      <c r="E63" s="7" t="n"/>
      <c r="F63" s="6" t="n"/>
      <c r="G63" s="6" t="n"/>
      <c r="H63" s="6" t="n"/>
      <c r="I63" s="6" t="n"/>
      <c r="J63" s="6" t="n"/>
      <c r="K63" s="7" t="n"/>
      <c r="L63" s="5" t="n"/>
      <c r="M63" s="5" t="n"/>
      <c r="N63" s="5" t="n"/>
    </row>
    <row r="64">
      <c r="A64" s="5" t="n"/>
      <c r="B64" s="6" t="n"/>
      <c r="C64" s="5" t="n"/>
      <c r="D64" s="5" t="n"/>
      <c r="E64" s="7" t="n"/>
      <c r="F64" s="6" t="n"/>
      <c r="G64" s="6" t="n"/>
      <c r="H64" s="6" t="n"/>
      <c r="I64" s="6" t="n"/>
      <c r="J64" s="6" t="n"/>
      <c r="K64" s="7" t="n"/>
      <c r="L64" s="5" t="n"/>
      <c r="M64" s="5" t="n"/>
      <c r="N64" s="5" t="n"/>
    </row>
    <row r="65">
      <c r="A65" s="5" t="n"/>
      <c r="B65" s="6" t="n"/>
      <c r="C65" s="5" t="n"/>
      <c r="D65" s="5" t="n"/>
      <c r="E65" s="7" t="n"/>
      <c r="F65" s="6" t="n"/>
      <c r="G65" s="6" t="n"/>
      <c r="H65" s="6" t="n"/>
      <c r="I65" s="6" t="n"/>
      <c r="J65" s="6" t="n"/>
      <c r="K65" s="7" t="n"/>
      <c r="L65" s="5" t="n"/>
      <c r="M65" s="5" t="n"/>
      <c r="N65" s="5" t="n"/>
    </row>
    <row r="66">
      <c r="A66" s="5" t="n"/>
      <c r="B66" s="6" t="n"/>
      <c r="C66" s="5" t="n"/>
      <c r="D66" s="5" t="n"/>
      <c r="E66" s="7" t="n"/>
      <c r="F66" s="6" t="n"/>
      <c r="G66" s="6" t="n"/>
      <c r="H66" s="6" t="n"/>
      <c r="I66" s="6" t="n"/>
      <c r="J66" s="6" t="n"/>
      <c r="K66" s="7" t="n"/>
      <c r="L66" s="5" t="n"/>
      <c r="M66" s="5" t="n"/>
      <c r="N66" s="5" t="n"/>
    </row>
    <row r="67">
      <c r="A67" s="5" t="n"/>
      <c r="B67" s="6" t="n"/>
      <c r="C67" s="5" t="n"/>
      <c r="D67" s="5" t="n"/>
      <c r="E67" s="7" t="n"/>
      <c r="F67" s="6" t="n"/>
      <c r="G67" s="6" t="n"/>
      <c r="H67" s="6" t="n"/>
      <c r="I67" s="6" t="n"/>
      <c r="J67" s="6" t="n"/>
      <c r="K67" s="7" t="n"/>
      <c r="L67" s="5" t="n"/>
      <c r="M67" s="5" t="n"/>
      <c r="N67" s="5" t="n"/>
    </row>
    <row r="68">
      <c r="A68" s="5" t="n"/>
      <c r="B68" s="6" t="n"/>
      <c r="C68" s="5" t="n"/>
      <c r="D68" s="5" t="n"/>
      <c r="E68" s="7" t="n"/>
      <c r="F68" s="6" t="n"/>
      <c r="G68" s="6" t="n"/>
      <c r="H68" s="6" t="n"/>
      <c r="I68" s="6" t="n"/>
      <c r="J68" s="6" t="n"/>
      <c r="K68" s="7" t="n"/>
      <c r="L68" s="5" t="n"/>
      <c r="M68" s="5" t="n"/>
      <c r="N68" s="5" t="n"/>
    </row>
    <row r="69">
      <c r="A69" s="5" t="n"/>
      <c r="B69" s="6" t="n"/>
      <c r="C69" s="5" t="n"/>
      <c r="D69" s="5" t="n"/>
      <c r="E69" s="7" t="n"/>
      <c r="F69" s="6" t="n"/>
      <c r="G69" s="6" t="n"/>
      <c r="H69" s="6" t="n"/>
      <c r="I69" s="6" t="n"/>
      <c r="J69" s="6" t="n"/>
      <c r="K69" s="7" t="n"/>
      <c r="L69" s="5" t="n"/>
      <c r="M69" s="5" t="n"/>
      <c r="N69" s="5" t="n"/>
    </row>
    <row r="70">
      <c r="A70" s="5" t="n"/>
      <c r="B70" s="6" t="n"/>
      <c r="C70" s="5" t="n"/>
      <c r="D70" s="5" t="n"/>
      <c r="E70" s="7" t="n"/>
      <c r="F70" s="6" t="n"/>
      <c r="G70" s="6" t="n"/>
      <c r="H70" s="6" t="n"/>
      <c r="I70" s="6" t="n"/>
      <c r="J70" s="6" t="n"/>
      <c r="K70" s="7" t="n"/>
      <c r="L70" s="5" t="n"/>
      <c r="M70" s="5" t="n"/>
      <c r="N70" s="5" t="n"/>
    </row>
    <row r="71">
      <c r="A71" s="5" t="n"/>
      <c r="B71" s="6" t="n"/>
      <c r="C71" s="5" t="n"/>
      <c r="D71" s="5" t="n"/>
      <c r="E71" s="7" t="n"/>
      <c r="F71" s="6" t="n"/>
      <c r="G71" s="6" t="n"/>
      <c r="H71" s="6" t="n"/>
      <c r="I71" s="6" t="n"/>
      <c r="J71" s="6" t="n"/>
      <c r="K71" s="7" t="n"/>
      <c r="L71" s="5" t="n"/>
      <c r="M71" s="5" t="n"/>
      <c r="N71" s="5" t="n"/>
    </row>
    <row r="72">
      <c r="A72" s="5" t="n"/>
      <c r="B72" s="6" t="n"/>
      <c r="C72" s="5" t="n"/>
      <c r="D72" s="5" t="n"/>
      <c r="E72" s="7" t="n"/>
      <c r="F72" s="6" t="n"/>
      <c r="G72" s="6" t="n"/>
      <c r="H72" s="6" t="n"/>
      <c r="I72" s="6" t="n"/>
      <c r="J72" s="6" t="n"/>
      <c r="K72" s="7" t="n"/>
      <c r="L72" s="5" t="n"/>
      <c r="M72" s="5" t="n"/>
      <c r="N72" s="5" t="n"/>
    </row>
    <row r="73">
      <c r="A73" s="5" t="n"/>
      <c r="B73" s="6" t="n"/>
      <c r="C73" s="5" t="n"/>
      <c r="D73" s="5" t="n"/>
      <c r="E73" s="7" t="n"/>
      <c r="F73" s="6" t="n"/>
      <c r="G73" s="6" t="n"/>
      <c r="H73" s="6" t="n"/>
      <c r="I73" s="6" t="n"/>
      <c r="J73" s="6" t="n"/>
      <c r="K73" s="7" t="n"/>
      <c r="L73" s="5" t="n"/>
      <c r="M73" s="5" t="n"/>
      <c r="N73" s="5" t="n"/>
    </row>
    <row r="74">
      <c r="A74" s="5" t="n"/>
      <c r="B74" s="6" t="n"/>
      <c r="C74" s="5" t="n"/>
      <c r="D74" s="5" t="n"/>
      <c r="E74" s="7" t="n"/>
      <c r="F74" s="6" t="n"/>
      <c r="G74" s="6" t="n"/>
      <c r="H74" s="6" t="n"/>
      <c r="I74" s="6" t="n"/>
      <c r="J74" s="6" t="n"/>
      <c r="K74" s="7" t="n"/>
      <c r="L74" s="5" t="n"/>
      <c r="M74" s="5" t="n"/>
      <c r="N74" s="5" t="n"/>
    </row>
    <row r="75">
      <c r="A75" s="5" t="n"/>
      <c r="B75" s="6" t="n"/>
      <c r="C75" s="5" t="n"/>
      <c r="D75" s="5" t="n"/>
      <c r="E75" s="7" t="n"/>
      <c r="F75" s="6" t="n"/>
      <c r="G75" s="6" t="n"/>
      <c r="H75" s="6" t="n"/>
      <c r="I75" s="6" t="n"/>
      <c r="J75" s="6" t="n"/>
      <c r="K75" s="7" t="n"/>
      <c r="L75" s="5" t="n"/>
      <c r="M75" s="5" t="n"/>
      <c r="N75" s="5" t="n"/>
    </row>
    <row r="76">
      <c r="A76" s="5" t="n"/>
      <c r="B76" s="6" t="n"/>
      <c r="C76" s="5" t="n"/>
      <c r="D76" s="5" t="n"/>
      <c r="E76" s="7" t="n"/>
      <c r="F76" s="6" t="n"/>
      <c r="G76" s="6" t="n"/>
      <c r="H76" s="6" t="n"/>
      <c r="I76" s="6" t="n"/>
      <c r="J76" s="6" t="n"/>
      <c r="K76" s="7" t="n"/>
      <c r="L76" s="5" t="n"/>
      <c r="M76" s="5" t="n"/>
      <c r="N76" s="5" t="n"/>
    </row>
    <row r="77">
      <c r="A77" s="5" t="n"/>
      <c r="B77" s="6" t="n"/>
      <c r="C77" s="5" t="n"/>
      <c r="D77" s="5" t="n"/>
      <c r="E77" s="7" t="n"/>
      <c r="F77" s="6" t="n"/>
      <c r="G77" s="6" t="n"/>
      <c r="H77" s="6" t="n"/>
      <c r="I77" s="6" t="n"/>
      <c r="J77" s="6" t="n"/>
      <c r="K77" s="7" t="n"/>
      <c r="L77" s="5" t="n"/>
      <c r="M77" s="5" t="n"/>
      <c r="N77" s="5" t="n"/>
    </row>
    <row r="78">
      <c r="A78" s="5" t="n"/>
      <c r="B78" s="6" t="n"/>
      <c r="C78" s="5" t="n"/>
      <c r="D78" s="5" t="n"/>
      <c r="E78" s="7" t="n"/>
      <c r="F78" s="6" t="n"/>
      <c r="G78" s="6" t="n"/>
      <c r="H78" s="6" t="n"/>
      <c r="I78" s="6" t="n"/>
      <c r="J78" s="6" t="n"/>
      <c r="K78" s="7" t="n"/>
      <c r="L78" s="5" t="n"/>
      <c r="M78" s="5" t="n"/>
      <c r="N78" s="5" t="n"/>
    </row>
    <row r="79">
      <c r="A79" s="5" t="n"/>
      <c r="B79" s="6" t="n"/>
      <c r="C79" s="5" t="n"/>
      <c r="D79" s="5" t="n"/>
      <c r="E79" s="7" t="n"/>
      <c r="F79" s="6" t="n"/>
      <c r="G79" s="6" t="n"/>
      <c r="H79" s="6" t="n"/>
      <c r="I79" s="6" t="n"/>
      <c r="J79" s="6" t="n"/>
      <c r="K79" s="7" t="n"/>
      <c r="L79" s="5" t="n"/>
      <c r="M79" s="5" t="n"/>
      <c r="N79" s="5" t="n"/>
    </row>
    <row r="80">
      <c r="A80" s="5" t="n"/>
      <c r="B80" s="6" t="n"/>
      <c r="C80" s="5" t="n"/>
      <c r="D80" s="5" t="n"/>
      <c r="E80" s="7" t="n"/>
      <c r="F80" s="6" t="n"/>
      <c r="G80" s="6" t="n"/>
      <c r="H80" s="6" t="n"/>
      <c r="I80" s="6" t="n"/>
      <c r="J80" s="6" t="n"/>
      <c r="K80" s="7" t="n"/>
      <c r="L80" s="5" t="n"/>
      <c r="M80" s="5" t="n"/>
      <c r="N80" s="5" t="n"/>
    </row>
    <row r="81">
      <c r="A81" s="5" t="n"/>
      <c r="B81" s="6" t="n"/>
      <c r="C81" s="5" t="n"/>
      <c r="D81" s="5" t="n"/>
      <c r="E81" s="7" t="n"/>
      <c r="F81" s="6" t="n"/>
      <c r="G81" s="6" t="n"/>
      <c r="H81" s="6" t="n"/>
      <c r="I81" s="6" t="n"/>
      <c r="J81" s="6" t="n"/>
      <c r="K81" s="7" t="n"/>
      <c r="L81" s="5" t="n"/>
      <c r="M81" s="5" t="n"/>
      <c r="N81" s="5" t="n"/>
    </row>
    <row r="82">
      <c r="A82" s="5" t="n"/>
      <c r="B82" s="6" t="n"/>
      <c r="C82" s="5" t="n"/>
      <c r="D82" s="5" t="n"/>
      <c r="E82" s="7" t="n"/>
      <c r="F82" s="6" t="n"/>
      <c r="G82" s="6" t="n"/>
      <c r="H82" s="6" t="n"/>
      <c r="I82" s="6" t="n"/>
      <c r="J82" s="6" t="n"/>
      <c r="K82" s="7" t="n"/>
      <c r="L82" s="5" t="n"/>
      <c r="M82" s="5" t="n"/>
      <c r="N82" s="5" t="n"/>
    </row>
    <row r="83">
      <c r="A83" s="5" t="n"/>
      <c r="B83" s="6" t="n"/>
      <c r="C83" s="5" t="n"/>
      <c r="D83" s="5" t="n"/>
      <c r="E83" s="7" t="n"/>
      <c r="F83" s="6" t="n"/>
      <c r="G83" s="6" t="n"/>
      <c r="H83" s="6" t="n"/>
      <c r="I83" s="6" t="n"/>
      <c r="J83" s="6" t="n"/>
      <c r="K83" s="7" t="n"/>
      <c r="L83" s="5" t="n"/>
      <c r="M83" s="5" t="n"/>
      <c r="N83" s="5" t="n"/>
    </row>
    <row r="84">
      <c r="A84" s="5" t="n"/>
      <c r="B84" s="6" t="n"/>
      <c r="C84" s="5" t="n"/>
      <c r="D84" s="5" t="n"/>
      <c r="E84" s="7" t="n"/>
      <c r="F84" s="6" t="n"/>
      <c r="G84" s="6" t="n"/>
      <c r="H84" s="6" t="n"/>
      <c r="I84" s="6" t="n"/>
      <c r="J84" s="6" t="n"/>
      <c r="K84" s="7" t="n"/>
      <c r="L84" s="5" t="n"/>
      <c r="M84" s="5" t="n"/>
      <c r="N84" s="5" t="n"/>
    </row>
    <row r="85">
      <c r="A85" s="5" t="n"/>
      <c r="B85" s="6" t="n"/>
      <c r="C85" s="5" t="n"/>
      <c r="D85" s="5" t="n"/>
      <c r="E85" s="7" t="n"/>
      <c r="F85" s="6" t="n"/>
      <c r="G85" s="6" t="n"/>
      <c r="H85" s="6" t="n"/>
      <c r="I85" s="6" t="n"/>
      <c r="J85" s="6" t="n"/>
      <c r="K85" s="7" t="n"/>
      <c r="L85" s="5" t="n"/>
      <c r="M85" s="5" t="n"/>
      <c r="N85" s="5" t="n"/>
    </row>
    <row r="86">
      <c r="A86" s="5" t="n"/>
      <c r="B86" s="6" t="n"/>
      <c r="C86" s="5" t="n"/>
      <c r="D86" s="5" t="n"/>
      <c r="E86" s="7" t="n"/>
      <c r="F86" s="6" t="n"/>
      <c r="G86" s="6" t="n"/>
      <c r="H86" s="6" t="n"/>
      <c r="I86" s="6" t="n"/>
      <c r="J86" s="6" t="n"/>
      <c r="K86" s="7" t="n"/>
      <c r="L86" s="5" t="n"/>
      <c r="M86" s="5" t="n"/>
      <c r="N86" s="5" t="n"/>
    </row>
    <row r="87">
      <c r="A87" s="5" t="n"/>
      <c r="B87" s="6" t="n"/>
      <c r="C87" s="5" t="n"/>
      <c r="D87" s="5" t="n"/>
      <c r="E87" s="7" t="n"/>
      <c r="F87" s="6" t="n"/>
      <c r="G87" s="6" t="n"/>
      <c r="H87" s="6" t="n"/>
      <c r="I87" s="6" t="n"/>
      <c r="J87" s="6" t="n"/>
      <c r="K87" s="7" t="n"/>
      <c r="L87" s="5" t="n"/>
      <c r="M87" s="5" t="n"/>
      <c r="N87" s="5" t="n"/>
    </row>
    <row r="88">
      <c r="A88" s="5" t="n"/>
      <c r="B88" s="6" t="n"/>
      <c r="C88" s="5" t="n"/>
      <c r="D88" s="5" t="n"/>
      <c r="E88" s="7" t="n"/>
      <c r="F88" s="6" t="n"/>
      <c r="G88" s="6" t="n"/>
      <c r="H88" s="6" t="n"/>
      <c r="I88" s="6" t="n"/>
      <c r="J88" s="6" t="n"/>
      <c r="K88" s="7" t="n"/>
      <c r="L88" s="5" t="n"/>
      <c r="M88" s="5" t="n"/>
      <c r="N88" s="5" t="n"/>
    </row>
    <row r="89">
      <c r="A89" s="5" t="n"/>
      <c r="B89" s="6" t="n"/>
      <c r="C89" s="5" t="n"/>
      <c r="D89" s="5" t="n"/>
      <c r="E89" s="7" t="n"/>
      <c r="F89" s="6" t="n"/>
      <c r="G89" s="6" t="n"/>
      <c r="H89" s="6" t="n"/>
      <c r="I89" s="6" t="n"/>
      <c r="J89" s="6" t="n"/>
      <c r="K89" s="7" t="n"/>
      <c r="L89" s="5" t="n"/>
      <c r="M89" s="5" t="n"/>
      <c r="N89" s="5" t="n"/>
    </row>
    <row r="90">
      <c r="A90" s="5" t="n"/>
      <c r="B90" s="6" t="n"/>
      <c r="C90" s="5" t="n"/>
      <c r="D90" s="5" t="n"/>
      <c r="E90" s="7" t="n"/>
      <c r="F90" s="6" t="n"/>
      <c r="G90" s="6" t="n"/>
      <c r="H90" s="6" t="n"/>
      <c r="I90" s="6" t="n"/>
      <c r="J90" s="6" t="n"/>
      <c r="K90" s="7" t="n"/>
      <c r="L90" s="5" t="n"/>
      <c r="M90" s="5" t="n"/>
      <c r="N90" s="5" t="n"/>
    </row>
    <row r="91">
      <c r="A91" s="5" t="n"/>
      <c r="B91" s="6" t="n"/>
      <c r="C91" s="5" t="n"/>
      <c r="D91" s="5" t="n"/>
      <c r="E91" s="7" t="n"/>
      <c r="F91" s="6" t="n"/>
      <c r="G91" s="6" t="n"/>
      <c r="H91" s="6" t="n"/>
      <c r="I91" s="6" t="n"/>
      <c r="J91" s="6" t="n"/>
      <c r="K91" s="7" t="n"/>
      <c r="L91" s="5" t="n"/>
      <c r="M91" s="5" t="n"/>
      <c r="N91" s="5" t="n"/>
    </row>
    <row r="92">
      <c r="A92" s="5" t="n"/>
      <c r="B92" s="6" t="n"/>
      <c r="C92" s="5" t="n"/>
      <c r="D92" s="5" t="n"/>
      <c r="E92" s="7" t="n"/>
      <c r="F92" s="6" t="n"/>
      <c r="G92" s="6" t="n"/>
      <c r="H92" s="6" t="n"/>
      <c r="I92" s="6" t="n"/>
      <c r="J92" s="6" t="n"/>
      <c r="K92" s="7" t="n"/>
      <c r="L92" s="5" t="n"/>
      <c r="M92" s="5" t="n"/>
      <c r="N92" s="5" t="n"/>
    </row>
    <row r="93">
      <c r="A93" s="5" t="n"/>
      <c r="B93" s="6" t="n"/>
      <c r="C93" s="5" t="n"/>
      <c r="D93" s="5" t="n"/>
      <c r="E93" s="7" t="n"/>
      <c r="F93" s="6" t="n"/>
      <c r="G93" s="6" t="n"/>
      <c r="H93" s="6" t="n"/>
      <c r="I93" s="6" t="n"/>
      <c r="J93" s="6" t="n"/>
      <c r="K93" s="7" t="n"/>
      <c r="L93" s="5" t="n"/>
      <c r="M93" s="5" t="n"/>
      <c r="N93" s="5" t="n"/>
    </row>
    <row r="94">
      <c r="A94" s="5" t="n"/>
      <c r="B94" s="6" t="n"/>
      <c r="C94" s="5" t="n"/>
      <c r="D94" s="5" t="n"/>
      <c r="E94" s="7" t="n"/>
      <c r="F94" s="6" t="n"/>
      <c r="G94" s="6" t="n"/>
      <c r="H94" s="6" t="n"/>
      <c r="I94" s="6" t="n"/>
      <c r="J94" s="6" t="n"/>
      <c r="K94" s="7" t="n"/>
      <c r="L94" s="5" t="n"/>
      <c r="M94" s="5" t="n"/>
      <c r="N94" s="5" t="n"/>
    </row>
    <row r="95">
      <c r="A95" s="5" t="n"/>
      <c r="B95" s="6" t="n"/>
      <c r="C95" s="5" t="n"/>
      <c r="D95" s="5" t="n"/>
      <c r="E95" s="7" t="n"/>
      <c r="F95" s="6" t="n"/>
      <c r="G95" s="6" t="n"/>
      <c r="H95" s="6" t="n"/>
      <c r="I95" s="6" t="n"/>
      <c r="J95" s="6" t="n"/>
      <c r="K95" s="7" t="n"/>
      <c r="L95" s="5" t="n"/>
      <c r="M95" s="5" t="n"/>
      <c r="N95" s="5" t="n"/>
    </row>
    <row r="96">
      <c r="A96" s="5" t="n"/>
      <c r="B96" s="6" t="n"/>
      <c r="C96" s="5" t="n"/>
      <c r="D96" s="5" t="n"/>
      <c r="E96" s="7" t="n"/>
      <c r="F96" s="6" t="n"/>
      <c r="G96" s="6" t="n"/>
      <c r="H96" s="6" t="n"/>
      <c r="I96" s="6" t="n"/>
      <c r="J96" s="6" t="n"/>
      <c r="K96" s="7" t="n"/>
      <c r="L96" s="5" t="n"/>
      <c r="M96" s="5" t="n"/>
      <c r="N96" s="5" t="n"/>
    </row>
    <row r="97">
      <c r="A97" s="5" t="n"/>
      <c r="B97" s="6" t="n"/>
      <c r="C97" s="5" t="n"/>
      <c r="D97" s="5" t="n"/>
      <c r="E97" s="7" t="n"/>
      <c r="F97" s="6" t="n"/>
      <c r="G97" s="6" t="n"/>
      <c r="H97" s="6" t="n"/>
      <c r="I97" s="6" t="n"/>
      <c r="J97" s="6" t="n"/>
      <c r="K97" s="7" t="n"/>
      <c r="L97" s="5" t="n"/>
      <c r="M97" s="5" t="n"/>
      <c r="N97" s="5" t="n"/>
    </row>
    <row r="98">
      <c r="A98" s="5" t="n"/>
      <c r="B98" s="6" t="n"/>
      <c r="C98" s="5" t="n"/>
      <c r="D98" s="5" t="n"/>
      <c r="E98" s="7" t="n"/>
      <c r="F98" s="6" t="n"/>
      <c r="G98" s="6" t="n"/>
      <c r="H98" s="6" t="n"/>
      <c r="I98" s="6" t="n"/>
      <c r="J98" s="6" t="n"/>
      <c r="K98" s="7" t="n"/>
      <c r="L98" s="5" t="n"/>
      <c r="M98" s="5" t="n"/>
      <c r="N98" s="5" t="n"/>
    </row>
    <row r="99">
      <c r="A99" s="5" t="n"/>
      <c r="B99" s="6" t="n"/>
      <c r="C99" s="5" t="n"/>
      <c r="D99" s="5" t="n"/>
      <c r="E99" s="7" t="n"/>
      <c r="F99" s="6" t="n"/>
      <c r="G99" s="6" t="n"/>
      <c r="H99" s="6" t="n"/>
      <c r="I99" s="6" t="n"/>
      <c r="J99" s="6" t="n"/>
      <c r="K99" s="7" t="n"/>
      <c r="L99" s="5" t="n"/>
      <c r="M99" s="5" t="n"/>
      <c r="N99" s="5" t="n"/>
    </row>
    <row r="100">
      <c r="A100" s="5" t="n"/>
      <c r="B100" s="6" t="n"/>
      <c r="C100" s="5" t="n"/>
      <c r="D100" s="5" t="n"/>
      <c r="E100" s="7" t="n"/>
      <c r="F100" s="6" t="n"/>
      <c r="G100" s="6" t="n"/>
      <c r="H100" s="6" t="n"/>
      <c r="I100" s="6" t="n"/>
      <c r="J100" s="6" t="n"/>
      <c r="K100" s="7" t="n"/>
      <c r="L100" s="5" t="n"/>
      <c r="M100" s="5" t="n"/>
      <c r="N100" s="5" t="n"/>
    </row>
    <row r="101">
      <c r="A101" s="5" t="n"/>
      <c r="B101" s="6" t="n"/>
      <c r="C101" s="5" t="n"/>
      <c r="D101" s="5" t="n"/>
      <c r="E101" s="7" t="n"/>
      <c r="F101" s="6" t="n"/>
      <c r="G101" s="6" t="n"/>
      <c r="H101" s="6" t="n"/>
      <c r="I101" s="6" t="n"/>
      <c r="J101" s="6" t="n"/>
      <c r="K101" s="7" t="n"/>
      <c r="L101" s="5" t="n"/>
      <c r="M101" s="5" t="n"/>
      <c r="N101" s="5" t="n"/>
    </row>
    <row r="102">
      <c r="A102" s="5" t="n"/>
      <c r="B102" s="6" t="n"/>
      <c r="C102" s="5" t="n"/>
      <c r="D102" s="5" t="n"/>
      <c r="E102" s="7" t="n"/>
      <c r="F102" s="6" t="n"/>
      <c r="G102" s="6" t="n"/>
      <c r="H102" s="6" t="n"/>
      <c r="I102" s="6" t="n"/>
      <c r="J102" s="6" t="n"/>
      <c r="K102" s="7" t="n"/>
      <c r="L102" s="5" t="n"/>
      <c r="M102" s="5" t="n"/>
      <c r="N102" s="5" t="n"/>
    </row>
    <row r="103">
      <c r="A103" s="5" t="n"/>
      <c r="B103" s="6" t="n"/>
      <c r="C103" s="5" t="n"/>
      <c r="D103" s="5" t="n"/>
      <c r="E103" s="7" t="n"/>
      <c r="F103" s="6" t="n"/>
      <c r="G103" s="6" t="n"/>
      <c r="H103" s="6" t="n"/>
      <c r="I103" s="6" t="n"/>
      <c r="J103" s="6" t="n"/>
      <c r="K103" s="7" t="n"/>
      <c r="L103" s="5" t="n"/>
      <c r="M103" s="5" t="n"/>
      <c r="N103" s="5" t="n"/>
    </row>
    <row r="104">
      <c r="A104" s="5" t="n"/>
      <c r="B104" s="6" t="n"/>
      <c r="C104" s="5" t="n"/>
      <c r="D104" s="5" t="n"/>
      <c r="E104" s="7" t="n"/>
      <c r="F104" s="6" t="n"/>
      <c r="G104" s="6" t="n"/>
      <c r="H104" s="6" t="n"/>
      <c r="I104" s="6" t="n"/>
      <c r="J104" s="6" t="n"/>
      <c r="K104" s="7" t="n"/>
      <c r="L104" s="5" t="n"/>
      <c r="M104" s="5" t="n"/>
      <c r="N104" s="5" t="n"/>
    </row>
    <row r="105">
      <c r="A105" s="5" t="n"/>
      <c r="B105" s="6" t="n"/>
      <c r="C105" s="5" t="n"/>
      <c r="D105" s="5" t="n"/>
      <c r="E105" s="7" t="n"/>
      <c r="F105" s="6" t="n"/>
      <c r="G105" s="6" t="n"/>
      <c r="H105" s="6" t="n"/>
      <c r="I105" s="6" t="n"/>
      <c r="J105" s="6" t="n"/>
      <c r="K105" s="7" t="n"/>
      <c r="L105" s="5" t="n"/>
      <c r="M105" s="5" t="n"/>
      <c r="N105" s="5" t="n"/>
    </row>
    <row r="106">
      <c r="A106" s="5" t="n"/>
      <c r="B106" s="6" t="n"/>
      <c r="C106" s="5" t="n"/>
      <c r="D106" s="5" t="n"/>
      <c r="E106" s="7" t="n"/>
      <c r="F106" s="6" t="n"/>
      <c r="G106" s="6" t="n"/>
      <c r="H106" s="6" t="n"/>
      <c r="I106" s="6" t="n"/>
      <c r="J106" s="6" t="n"/>
      <c r="K106" s="7" t="n"/>
      <c r="L106" s="5" t="n"/>
      <c r="M106" s="5" t="n"/>
      <c r="N106" s="5" t="n"/>
    </row>
    <row r="107">
      <c r="A107" s="5" t="n"/>
      <c r="B107" s="6" t="n"/>
      <c r="C107" s="5" t="n"/>
      <c r="D107" s="5" t="n"/>
      <c r="E107" s="7" t="n"/>
      <c r="F107" s="6" t="n"/>
      <c r="G107" s="6" t="n"/>
      <c r="H107" s="6" t="n"/>
      <c r="I107" s="6" t="n"/>
      <c r="J107" s="6" t="n"/>
      <c r="K107" s="7" t="n"/>
      <c r="L107" s="5" t="n"/>
      <c r="M107" s="5" t="n"/>
      <c r="N107" s="5" t="n"/>
    </row>
    <row r="108">
      <c r="A108" s="5" t="n"/>
      <c r="B108" s="6" t="n"/>
      <c r="C108" s="5" t="n"/>
      <c r="D108" s="5" t="n"/>
      <c r="E108" s="7" t="n"/>
      <c r="F108" s="6" t="n"/>
      <c r="G108" s="6" t="n"/>
      <c r="H108" s="6" t="n"/>
      <c r="I108" s="6" t="n"/>
      <c r="J108" s="6" t="n"/>
      <c r="K108" s="7" t="n"/>
      <c r="L108" s="5" t="n"/>
      <c r="M108" s="5" t="n"/>
      <c r="N108" s="5" t="n"/>
    </row>
    <row r="109">
      <c r="A109" s="5" t="n"/>
      <c r="B109" s="6" t="n"/>
      <c r="C109" s="5" t="n"/>
      <c r="D109" s="5" t="n"/>
      <c r="E109" s="7" t="n"/>
      <c r="F109" s="6" t="n"/>
      <c r="G109" s="6" t="n"/>
      <c r="H109" s="6" t="n"/>
      <c r="I109" s="6" t="n"/>
      <c r="J109" s="6" t="n"/>
      <c r="K109" s="7" t="n"/>
      <c r="L109" s="5" t="n"/>
      <c r="M109" s="5" t="n"/>
      <c r="N109" s="5" t="n"/>
    </row>
    <row r="110">
      <c r="A110" s="5" t="n"/>
      <c r="B110" s="6" t="n"/>
      <c r="C110" s="5" t="n"/>
      <c r="D110" s="5" t="n"/>
      <c r="E110" s="7" t="n"/>
      <c r="F110" s="6" t="n"/>
      <c r="G110" s="6" t="n"/>
      <c r="H110" s="6" t="n"/>
      <c r="I110" s="6" t="n"/>
      <c r="J110" s="6" t="n"/>
      <c r="K110" s="7" t="n"/>
      <c r="L110" s="5" t="n"/>
      <c r="M110" s="5" t="n"/>
      <c r="N110" s="5" t="n"/>
    </row>
    <row r="111">
      <c r="A111" s="5" t="n"/>
      <c r="B111" s="6" t="n"/>
      <c r="C111" s="5" t="n"/>
      <c r="D111" s="5" t="n"/>
      <c r="E111" s="7" t="n"/>
      <c r="F111" s="6" t="n"/>
      <c r="G111" s="6" t="n"/>
      <c r="H111" s="6" t="n"/>
      <c r="I111" s="6" t="n"/>
      <c r="J111" s="6" t="n"/>
      <c r="K111" s="7" t="n"/>
      <c r="L111" s="5" t="n"/>
      <c r="M111" s="5" t="n"/>
      <c r="N111" s="5" t="n"/>
    </row>
    <row r="112">
      <c r="A112" s="5" t="n"/>
      <c r="B112" s="6" t="n"/>
      <c r="C112" s="5" t="n"/>
      <c r="D112" s="5" t="n"/>
      <c r="E112" s="7" t="n"/>
      <c r="F112" s="6" t="n"/>
      <c r="G112" s="6" t="n"/>
      <c r="H112" s="6" t="n"/>
      <c r="I112" s="6" t="n"/>
      <c r="J112" s="6" t="n"/>
      <c r="K112" s="7" t="n"/>
      <c r="L112" s="5" t="n"/>
      <c r="M112" s="5" t="n"/>
      <c r="N112" s="5" t="n"/>
    </row>
    <row r="113">
      <c r="A113" s="5" t="n"/>
      <c r="B113" s="6" t="n"/>
      <c r="C113" s="5" t="n"/>
      <c r="D113" s="5" t="n"/>
      <c r="E113" s="7" t="n"/>
      <c r="F113" s="6" t="n"/>
      <c r="G113" s="6" t="n"/>
      <c r="H113" s="6" t="n"/>
      <c r="I113" s="6" t="n"/>
      <c r="J113" s="6" t="n"/>
      <c r="K113" s="7" t="n"/>
      <c r="L113" s="5" t="n"/>
      <c r="M113" s="5" t="n"/>
      <c r="N113" s="5" t="n"/>
    </row>
    <row r="114">
      <c r="A114" s="5" t="n"/>
      <c r="B114" s="6" t="n"/>
      <c r="C114" s="5" t="n"/>
      <c r="D114" s="5" t="n"/>
      <c r="E114" s="7" t="n"/>
      <c r="F114" s="6" t="n"/>
      <c r="G114" s="6" t="n"/>
      <c r="H114" s="6" t="n"/>
      <c r="I114" s="6" t="n"/>
      <c r="J114" s="6" t="n"/>
      <c r="K114" s="7" t="n"/>
      <c r="L114" s="5" t="n"/>
      <c r="M114" s="5" t="n"/>
      <c r="N114" s="5" t="n"/>
    </row>
    <row r="115">
      <c r="A115" s="5" t="n"/>
      <c r="B115" s="6" t="n"/>
      <c r="C115" s="5" t="n"/>
      <c r="D115" s="5" t="n"/>
      <c r="E115" s="7" t="n"/>
      <c r="F115" s="6" t="n"/>
      <c r="G115" s="6" t="n"/>
      <c r="H115" s="6" t="n"/>
      <c r="I115" s="6" t="n"/>
      <c r="J115" s="6" t="n"/>
      <c r="K115" s="7" t="n"/>
      <c r="L115" s="5" t="n"/>
      <c r="M115" s="5" t="n"/>
      <c r="N115" s="5" t="n"/>
    </row>
    <row r="116">
      <c r="A116" s="5" t="n"/>
      <c r="B116" s="6" t="n"/>
      <c r="C116" s="5" t="n"/>
      <c r="D116" s="5" t="n"/>
      <c r="E116" s="7" t="n"/>
      <c r="F116" s="6" t="n"/>
      <c r="G116" s="6" t="n"/>
      <c r="H116" s="6" t="n"/>
      <c r="I116" s="6" t="n"/>
      <c r="J116" s="6" t="n"/>
      <c r="K116" s="7" t="n"/>
      <c r="L116" s="5" t="n"/>
      <c r="M116" s="5" t="n"/>
      <c r="N116" s="5" t="n"/>
    </row>
    <row r="117">
      <c r="A117" s="5" t="n"/>
      <c r="B117" s="6" t="n"/>
      <c r="C117" s="5" t="n"/>
      <c r="D117" s="5" t="n"/>
      <c r="E117" s="7" t="n"/>
      <c r="F117" s="6" t="n"/>
      <c r="G117" s="6" t="n"/>
      <c r="H117" s="6" t="n"/>
      <c r="I117" s="6" t="n"/>
      <c r="J117" s="6" t="n"/>
      <c r="K117" s="7" t="n"/>
      <c r="L117" s="5" t="n"/>
      <c r="M117" s="5" t="n"/>
      <c r="N117" s="5" t="n"/>
    </row>
    <row r="118">
      <c r="A118" s="5" t="n"/>
      <c r="B118" s="6" t="n"/>
      <c r="C118" s="5" t="n"/>
      <c r="D118" s="5" t="n"/>
      <c r="E118" s="7" t="n"/>
      <c r="F118" s="6" t="n"/>
      <c r="G118" s="6" t="n"/>
      <c r="H118" s="6" t="n"/>
      <c r="I118" s="6" t="n"/>
      <c r="J118" s="6" t="n"/>
      <c r="K118" s="7" t="n"/>
      <c r="L118" s="5" t="n"/>
      <c r="M118" s="5" t="n"/>
      <c r="N118" s="5" t="n"/>
    </row>
    <row r="119">
      <c r="A119" s="5" t="n"/>
      <c r="B119" s="6" t="n"/>
      <c r="C119" s="5" t="n"/>
      <c r="D119" s="5" t="n"/>
      <c r="E119" s="7" t="n"/>
      <c r="F119" s="6" t="n"/>
      <c r="G119" s="6" t="n"/>
      <c r="H119" s="6" t="n"/>
      <c r="I119" s="6" t="n"/>
      <c r="J119" s="6" t="n"/>
      <c r="K119" s="7" t="n"/>
      <c r="L119" s="5" t="n"/>
      <c r="M119" s="5" t="n"/>
      <c r="N119" s="5" t="n"/>
    </row>
    <row r="120">
      <c r="A120" s="5" t="n"/>
      <c r="B120" s="6" t="n"/>
      <c r="C120" s="5" t="n"/>
      <c r="D120" s="5" t="n"/>
      <c r="E120" s="7" t="n"/>
      <c r="F120" s="6" t="n"/>
      <c r="G120" s="6" t="n"/>
      <c r="H120" s="6" t="n"/>
      <c r="I120" s="6" t="n"/>
      <c r="J120" s="6" t="n"/>
      <c r="K120" s="7" t="n"/>
      <c r="L120" s="5" t="n"/>
      <c r="M120" s="5" t="n"/>
      <c r="N120" s="5" t="n"/>
    </row>
    <row r="121">
      <c r="A121" s="5" t="n"/>
      <c r="B121" s="6" t="n"/>
      <c r="C121" s="5" t="n"/>
      <c r="D121" s="5" t="n"/>
      <c r="E121" s="7" t="n"/>
      <c r="F121" s="6" t="n"/>
      <c r="G121" s="6" t="n"/>
      <c r="H121" s="6" t="n"/>
      <c r="I121" s="6" t="n"/>
      <c r="J121" s="6" t="n"/>
      <c r="K121" s="7" t="n"/>
      <c r="L121" s="5" t="n"/>
      <c r="M121" s="5" t="n"/>
      <c r="N121" s="5" t="n"/>
    </row>
    <row r="122">
      <c r="A122" s="5" t="n"/>
      <c r="B122" s="6" t="n"/>
      <c r="C122" s="5" t="n"/>
      <c r="D122" s="5" t="n"/>
      <c r="E122" s="7" t="n"/>
      <c r="F122" s="6" t="n"/>
      <c r="G122" s="6" t="n"/>
      <c r="H122" s="6" t="n"/>
      <c r="I122" s="6" t="n"/>
      <c r="J122" s="6" t="n"/>
      <c r="K122" s="7" t="n"/>
      <c r="L122" s="5" t="n"/>
      <c r="M122" s="5" t="n"/>
      <c r="N122" s="5" t="n"/>
    </row>
    <row r="123">
      <c r="A123" s="5" t="n"/>
      <c r="B123" s="6" t="n"/>
      <c r="C123" s="5" t="n"/>
      <c r="D123" s="5" t="n"/>
      <c r="E123" s="7" t="n"/>
      <c r="F123" s="6" t="n"/>
      <c r="G123" s="6" t="n"/>
      <c r="H123" s="6" t="n"/>
      <c r="I123" s="6" t="n"/>
      <c r="J123" s="6" t="n"/>
      <c r="K123" s="7" t="n"/>
      <c r="L123" s="5" t="n"/>
      <c r="M123" s="5" t="n"/>
      <c r="N123" s="5" t="n"/>
    </row>
    <row r="124">
      <c r="A124" s="5" t="n"/>
      <c r="B124" s="6" t="n"/>
      <c r="C124" s="5" t="n"/>
      <c r="D124" s="5" t="n"/>
      <c r="E124" s="7" t="n"/>
      <c r="F124" s="6" t="n"/>
      <c r="G124" s="6" t="n"/>
      <c r="H124" s="6" t="n"/>
      <c r="I124" s="6" t="n"/>
      <c r="J124" s="6" t="n"/>
      <c r="K124" s="7" t="n"/>
      <c r="L124" s="5" t="n"/>
      <c r="M124" s="5" t="n"/>
      <c r="N124" s="5" t="n"/>
    </row>
    <row r="125">
      <c r="A125" s="5" t="n"/>
      <c r="B125" s="6" t="n"/>
      <c r="C125" s="5" t="n"/>
      <c r="D125" s="5" t="n"/>
      <c r="E125" s="7" t="n"/>
      <c r="F125" s="6" t="n"/>
      <c r="G125" s="6" t="n"/>
      <c r="H125" s="6" t="n"/>
      <c r="I125" s="6" t="n"/>
      <c r="J125" s="6" t="n"/>
      <c r="K125" s="7" t="n"/>
      <c r="L125" s="5" t="n"/>
      <c r="M125" s="5" t="n"/>
      <c r="N125" s="5" t="n"/>
    </row>
    <row r="126">
      <c r="A126" s="5" t="n"/>
      <c r="B126" s="6" t="n"/>
      <c r="C126" s="5" t="n"/>
      <c r="D126" s="5" t="n"/>
      <c r="E126" s="7" t="n"/>
      <c r="F126" s="6" t="n"/>
      <c r="G126" s="6" t="n"/>
      <c r="H126" s="6" t="n"/>
      <c r="I126" s="6" t="n"/>
      <c r="J126" s="6" t="n"/>
      <c r="K126" s="7" t="n"/>
      <c r="L126" s="5" t="n"/>
      <c r="M126" s="5" t="n"/>
      <c r="N126" s="5" t="n"/>
    </row>
    <row r="127">
      <c r="A127" s="5" t="n"/>
      <c r="B127" s="6" t="n"/>
      <c r="C127" s="5" t="n"/>
      <c r="D127" s="5" t="n"/>
      <c r="E127" s="7" t="n"/>
      <c r="F127" s="6" t="n"/>
      <c r="G127" s="6" t="n"/>
      <c r="H127" s="6" t="n"/>
      <c r="I127" s="6" t="n"/>
      <c r="J127" s="6" t="n"/>
      <c r="K127" s="7" t="n"/>
      <c r="L127" s="5" t="n"/>
      <c r="M127" s="5" t="n"/>
      <c r="N127" s="5" t="n"/>
    </row>
    <row r="128">
      <c r="A128" s="5" t="n"/>
      <c r="B128" s="6" t="n"/>
      <c r="C128" s="5" t="n"/>
      <c r="D128" s="5" t="n"/>
      <c r="E128" s="7" t="n"/>
      <c r="F128" s="6" t="n"/>
      <c r="G128" s="6" t="n"/>
      <c r="H128" s="6" t="n"/>
      <c r="I128" s="6" t="n"/>
      <c r="J128" s="6" t="n"/>
      <c r="K128" s="7" t="n"/>
      <c r="L128" s="5" t="n"/>
      <c r="M128" s="5" t="n"/>
      <c r="N128" s="5" t="n"/>
    </row>
    <row r="129">
      <c r="A129" s="5" t="n"/>
      <c r="B129" s="6" t="n"/>
      <c r="C129" s="5" t="n"/>
      <c r="D129" s="5" t="n"/>
      <c r="E129" s="7" t="n"/>
      <c r="F129" s="6" t="n"/>
      <c r="G129" s="6" t="n"/>
      <c r="H129" s="6" t="n"/>
      <c r="I129" s="6" t="n"/>
      <c r="J129" s="6" t="n"/>
      <c r="K129" s="7" t="n"/>
      <c r="L129" s="5" t="n"/>
      <c r="M129" s="5" t="n"/>
      <c r="N129" s="5" t="n"/>
    </row>
    <row r="130">
      <c r="A130" s="5" t="n"/>
      <c r="B130" s="6" t="n"/>
      <c r="C130" s="5" t="n"/>
      <c r="D130" s="5" t="n"/>
      <c r="E130" s="7" t="n"/>
      <c r="F130" s="6" t="n"/>
      <c r="G130" s="6" t="n"/>
      <c r="H130" s="6" t="n"/>
      <c r="I130" s="6" t="n"/>
      <c r="J130" s="6" t="n"/>
      <c r="K130" s="7" t="n"/>
      <c r="L130" s="5" t="n"/>
      <c r="M130" s="5" t="n"/>
      <c r="N130" s="5" t="n"/>
    </row>
    <row r="131">
      <c r="A131" s="5" t="n"/>
      <c r="B131" s="6" t="n"/>
      <c r="C131" s="5" t="n"/>
      <c r="D131" s="5" t="n"/>
      <c r="E131" s="7" t="n"/>
      <c r="F131" s="6" t="n"/>
      <c r="G131" s="6" t="n"/>
      <c r="H131" s="6" t="n"/>
      <c r="I131" s="6" t="n"/>
      <c r="J131" s="6" t="n"/>
      <c r="K131" s="7" t="n"/>
      <c r="L131" s="5" t="n"/>
      <c r="M131" s="5" t="n"/>
      <c r="N131" s="5" t="n"/>
    </row>
    <row r="132">
      <c r="A132" s="5" t="n"/>
      <c r="B132" s="6" t="n"/>
      <c r="C132" s="5" t="n"/>
      <c r="D132" s="5" t="n"/>
      <c r="E132" s="7" t="n"/>
      <c r="F132" s="6" t="n"/>
      <c r="G132" s="6" t="n"/>
      <c r="H132" s="6" t="n"/>
      <c r="I132" s="6" t="n"/>
      <c r="J132" s="6" t="n"/>
      <c r="K132" s="7" t="n"/>
      <c r="L132" s="5" t="n"/>
      <c r="M132" s="5" t="n"/>
      <c r="N132" s="5" t="n"/>
    </row>
    <row r="133">
      <c r="A133" s="5" t="n"/>
      <c r="B133" s="6" t="n"/>
      <c r="C133" s="5" t="n"/>
      <c r="D133" s="5" t="n"/>
      <c r="E133" s="7" t="n"/>
      <c r="F133" s="6" t="n"/>
      <c r="G133" s="6" t="n"/>
      <c r="H133" s="6" t="n"/>
      <c r="I133" s="6" t="n"/>
      <c r="J133" s="6" t="n"/>
      <c r="K133" s="7" t="n"/>
      <c r="L133" s="5" t="n"/>
      <c r="M133" s="5" t="n"/>
      <c r="N133" s="5" t="n"/>
    </row>
    <row r="134">
      <c r="A134" s="5" t="n"/>
      <c r="B134" s="6" t="n"/>
      <c r="C134" s="5" t="n"/>
      <c r="D134" s="5" t="n"/>
      <c r="E134" s="7" t="n"/>
      <c r="F134" s="6" t="n"/>
      <c r="G134" s="6" t="n"/>
      <c r="H134" s="6" t="n"/>
      <c r="I134" s="6" t="n"/>
      <c r="J134" s="6" t="n"/>
      <c r="K134" s="7" t="n"/>
      <c r="L134" s="5" t="n"/>
      <c r="M134" s="5" t="n"/>
      <c r="N134" s="5" t="n"/>
    </row>
    <row r="135">
      <c r="A135" s="5" t="n"/>
      <c r="B135" s="6" t="n"/>
      <c r="C135" s="5" t="n"/>
      <c r="D135" s="5" t="n"/>
      <c r="E135" s="7" t="n"/>
      <c r="F135" s="6" t="n"/>
      <c r="G135" s="6" t="n"/>
      <c r="H135" s="6" t="n"/>
      <c r="I135" s="6" t="n"/>
      <c r="J135" s="6" t="n"/>
      <c r="K135" s="7" t="n"/>
      <c r="L135" s="5" t="n"/>
      <c r="M135" s="5" t="n"/>
      <c r="N135" s="5" t="n"/>
    </row>
    <row r="136">
      <c r="A136" s="5" t="n"/>
      <c r="B136" s="6" t="n"/>
      <c r="C136" s="5" t="n"/>
      <c r="D136" s="5" t="n"/>
      <c r="E136" s="7" t="n"/>
      <c r="F136" s="6" t="n"/>
      <c r="G136" s="6" t="n"/>
      <c r="H136" s="6" t="n"/>
      <c r="I136" s="6" t="n"/>
      <c r="J136" s="6" t="n"/>
      <c r="K136" s="7" t="n"/>
      <c r="L136" s="5" t="n"/>
      <c r="M136" s="5" t="n"/>
      <c r="N136" s="5" t="n"/>
    </row>
    <row r="137">
      <c r="A137" s="5" t="n"/>
      <c r="B137" s="6" t="n"/>
      <c r="C137" s="5" t="n"/>
      <c r="D137" s="5" t="n"/>
      <c r="E137" s="7" t="n"/>
      <c r="F137" s="6" t="n"/>
      <c r="G137" s="6" t="n"/>
      <c r="H137" s="6" t="n"/>
      <c r="I137" s="6" t="n"/>
      <c r="J137" s="6" t="n"/>
      <c r="K137" s="7" t="n"/>
      <c r="L137" s="5" t="n"/>
      <c r="M137" s="5" t="n"/>
      <c r="N137" s="5" t="n"/>
    </row>
    <row r="138">
      <c r="A138" s="5" t="n"/>
      <c r="B138" s="6" t="n"/>
      <c r="C138" s="5" t="n"/>
      <c r="D138" s="5" t="n"/>
      <c r="E138" s="7" t="n"/>
      <c r="F138" s="6" t="n"/>
      <c r="G138" s="6" t="n"/>
      <c r="H138" s="6" t="n"/>
      <c r="I138" s="6" t="n"/>
      <c r="J138" s="6" t="n"/>
      <c r="K138" s="7" t="n"/>
      <c r="L138" s="5" t="n"/>
      <c r="M138" s="5" t="n"/>
      <c r="N138" s="5" t="n"/>
    </row>
    <row r="139">
      <c r="A139" s="5" t="n"/>
      <c r="B139" s="6" t="n"/>
      <c r="C139" s="5" t="n"/>
      <c r="D139" s="5" t="n"/>
      <c r="E139" s="7" t="n"/>
      <c r="F139" s="6" t="n"/>
      <c r="G139" s="6" t="n"/>
      <c r="H139" s="6" t="n"/>
      <c r="I139" s="6" t="n"/>
      <c r="J139" s="6" t="n"/>
      <c r="K139" s="7" t="n"/>
      <c r="L139" s="5" t="n"/>
      <c r="M139" s="5" t="n"/>
      <c r="N139" s="5" t="n"/>
    </row>
    <row r="140">
      <c r="A140" s="5" t="n"/>
      <c r="B140" s="6" t="n"/>
      <c r="C140" s="5" t="n"/>
      <c r="D140" s="5" t="n"/>
      <c r="E140" s="7" t="n"/>
      <c r="F140" s="6" t="n"/>
      <c r="G140" s="6" t="n"/>
      <c r="H140" s="6" t="n"/>
      <c r="I140" s="6" t="n"/>
      <c r="J140" s="6" t="n"/>
      <c r="K140" s="7" t="n"/>
      <c r="L140" s="5" t="n"/>
      <c r="M140" s="5" t="n"/>
      <c r="N140" s="5" t="n"/>
    </row>
    <row r="141">
      <c r="A141" s="5" t="n"/>
      <c r="B141" s="6" t="n"/>
      <c r="C141" s="5" t="n"/>
      <c r="D141" s="5" t="n"/>
      <c r="E141" s="7" t="n"/>
      <c r="F141" s="6" t="n"/>
      <c r="G141" s="6" t="n"/>
      <c r="H141" s="6" t="n"/>
      <c r="I141" s="6" t="n"/>
      <c r="J141" s="6" t="n"/>
      <c r="K141" s="7" t="n"/>
      <c r="L141" s="5" t="n"/>
      <c r="M141" s="5" t="n"/>
      <c r="N141" s="5" t="n"/>
    </row>
    <row r="142">
      <c r="A142" s="5" t="n"/>
      <c r="B142" s="6" t="n"/>
      <c r="C142" s="5" t="n"/>
      <c r="D142" s="5" t="n"/>
      <c r="E142" s="7" t="n"/>
      <c r="F142" s="6" t="n"/>
      <c r="G142" s="6" t="n"/>
      <c r="H142" s="6" t="n"/>
      <c r="I142" s="6" t="n"/>
      <c r="J142" s="6" t="n"/>
      <c r="K142" s="7" t="n"/>
      <c r="L142" s="5" t="n"/>
      <c r="M142" s="5" t="n"/>
      <c r="N142" s="5" t="n"/>
    </row>
    <row r="143">
      <c r="A143" s="5" t="n"/>
      <c r="B143" s="6" t="n"/>
      <c r="C143" s="5" t="n"/>
      <c r="D143" s="5" t="n"/>
      <c r="E143" s="7" t="n"/>
      <c r="F143" s="6" t="n"/>
      <c r="G143" s="6" t="n"/>
      <c r="H143" s="6" t="n"/>
      <c r="I143" s="6" t="n"/>
      <c r="J143" s="6" t="n"/>
      <c r="K143" s="7" t="n"/>
      <c r="L143" s="5" t="n"/>
      <c r="M143" s="5" t="n"/>
      <c r="N143" s="5" t="n"/>
    </row>
    <row r="144">
      <c r="A144" s="5" t="n"/>
      <c r="B144" s="6" t="n"/>
      <c r="C144" s="5" t="n"/>
      <c r="D144" s="5" t="n"/>
      <c r="E144" s="7" t="n"/>
      <c r="F144" s="6" t="n"/>
      <c r="G144" s="6" t="n"/>
      <c r="H144" s="6" t="n"/>
      <c r="I144" s="6" t="n"/>
      <c r="J144" s="6" t="n"/>
      <c r="K144" s="7" t="n"/>
      <c r="L144" s="5" t="n"/>
      <c r="M144" s="5" t="n"/>
      <c r="N144" s="5" t="n"/>
    </row>
    <row r="145">
      <c r="A145" s="5" t="n"/>
      <c r="B145" s="6" t="n"/>
      <c r="C145" s="5" t="n"/>
      <c r="D145" s="5" t="n"/>
      <c r="E145" s="7" t="n"/>
      <c r="F145" s="6" t="n"/>
      <c r="G145" s="6" t="n"/>
      <c r="H145" s="6" t="n"/>
      <c r="I145" s="6" t="n"/>
      <c r="J145" s="6" t="n"/>
      <c r="K145" s="7" t="n"/>
      <c r="L145" s="5" t="n"/>
      <c r="M145" s="5" t="n"/>
      <c r="N145" s="5" t="n"/>
    </row>
    <row r="146">
      <c r="A146" s="5" t="n"/>
      <c r="B146" s="6" t="n"/>
      <c r="C146" s="5" t="n"/>
      <c r="D146" s="5" t="n"/>
      <c r="E146" s="7" t="n"/>
      <c r="F146" s="6" t="n"/>
      <c r="G146" s="6" t="n"/>
      <c r="H146" s="6" t="n"/>
      <c r="I146" s="6" t="n"/>
      <c r="J146" s="6" t="n"/>
      <c r="K146" s="7" t="n"/>
      <c r="L146" s="5" t="n"/>
      <c r="M146" s="5" t="n"/>
      <c r="N146" s="5" t="n"/>
    </row>
    <row r="147">
      <c r="A147" s="5" t="n"/>
      <c r="B147" s="6" t="n"/>
      <c r="C147" s="5" t="n"/>
      <c r="D147" s="5" t="n"/>
      <c r="E147" s="7" t="n"/>
      <c r="F147" s="6" t="n"/>
      <c r="G147" s="6" t="n"/>
      <c r="H147" s="6" t="n"/>
      <c r="I147" s="6" t="n"/>
      <c r="J147" s="6" t="n"/>
      <c r="K147" s="7" t="n"/>
      <c r="L147" s="5" t="n"/>
      <c r="M147" s="5" t="n"/>
      <c r="N147" s="5" t="n"/>
    </row>
    <row r="148">
      <c r="A148" s="5" t="n"/>
      <c r="B148" s="6" t="n"/>
      <c r="C148" s="5" t="n"/>
      <c r="D148" s="5" t="n"/>
      <c r="E148" s="7" t="n"/>
      <c r="F148" s="6" t="n"/>
      <c r="G148" s="6" t="n"/>
      <c r="H148" s="6" t="n"/>
      <c r="I148" s="6" t="n"/>
      <c r="J148" s="6" t="n"/>
      <c r="K148" s="7" t="n"/>
      <c r="L148" s="5" t="n"/>
      <c r="M148" s="5" t="n"/>
      <c r="N148" s="5" t="n"/>
    </row>
    <row r="149">
      <c r="A149" s="5" t="n"/>
      <c r="B149" s="6" t="n"/>
      <c r="C149" s="5" t="n"/>
      <c r="D149" s="5" t="n"/>
      <c r="E149" s="7" t="n"/>
      <c r="F149" s="6" t="n"/>
      <c r="G149" s="6" t="n"/>
      <c r="H149" s="6" t="n"/>
      <c r="I149" s="6" t="n"/>
      <c r="J149" s="6" t="n"/>
      <c r="K149" s="7" t="n"/>
      <c r="L149" s="5" t="n"/>
      <c r="M149" s="5" t="n"/>
      <c r="N149" s="5" t="n"/>
    </row>
    <row r="150">
      <c r="A150" s="5" t="n"/>
      <c r="B150" s="6" t="n"/>
      <c r="C150" s="5" t="n"/>
      <c r="D150" s="5" t="n"/>
      <c r="E150" s="7" t="n"/>
      <c r="F150" s="6" t="n"/>
      <c r="G150" s="6" t="n"/>
      <c r="H150" s="6" t="n"/>
      <c r="I150" s="6" t="n"/>
      <c r="J150" s="6" t="n"/>
      <c r="K150" s="7" t="n"/>
      <c r="L150" s="5" t="n"/>
      <c r="M150" s="5" t="n"/>
      <c r="N150" s="5" t="n"/>
    </row>
    <row r="151">
      <c r="A151" s="5" t="n"/>
      <c r="B151" s="6" t="n"/>
      <c r="C151" s="5" t="n"/>
      <c r="D151" s="5" t="n"/>
      <c r="E151" s="7" t="n"/>
      <c r="F151" s="6" t="n"/>
      <c r="G151" s="6" t="n"/>
      <c r="H151" s="6" t="n"/>
      <c r="I151" s="6" t="n"/>
      <c r="J151" s="6" t="n"/>
      <c r="K151" s="7" t="n"/>
      <c r="L151" s="5" t="n"/>
      <c r="M151" s="5" t="n"/>
      <c r="N151" s="5" t="n"/>
    </row>
    <row r="152">
      <c r="A152" s="5" t="n"/>
      <c r="B152" s="6" t="n"/>
      <c r="C152" s="5" t="n"/>
      <c r="D152" s="5" t="n"/>
      <c r="E152" s="7" t="n"/>
      <c r="F152" s="6" t="n"/>
      <c r="G152" s="6" t="n"/>
      <c r="H152" s="6" t="n"/>
      <c r="I152" s="6" t="n"/>
      <c r="J152" s="6" t="n"/>
      <c r="K152" s="7" t="n"/>
      <c r="L152" s="5" t="n"/>
      <c r="M152" s="5" t="n"/>
      <c r="N152" s="5" t="n"/>
    </row>
    <row r="153">
      <c r="A153" s="5" t="n"/>
      <c r="B153" s="6" t="n"/>
      <c r="C153" s="5" t="n"/>
      <c r="D153" s="5" t="n"/>
      <c r="E153" s="7" t="n"/>
      <c r="F153" s="6" t="n"/>
      <c r="G153" s="6" t="n"/>
      <c r="H153" s="6" t="n"/>
      <c r="I153" s="6" t="n"/>
      <c r="J153" s="6" t="n"/>
      <c r="K153" s="7" t="n"/>
      <c r="L153" s="5" t="n"/>
      <c r="M153" s="5" t="n"/>
      <c r="N153" s="5" t="n"/>
    </row>
    <row r="154">
      <c r="A154" s="5" t="n"/>
      <c r="B154" s="6" t="n"/>
      <c r="C154" s="5" t="n"/>
      <c r="D154" s="5" t="n"/>
      <c r="E154" s="7" t="n"/>
      <c r="F154" s="6" t="n"/>
      <c r="G154" s="6" t="n"/>
      <c r="H154" s="6" t="n"/>
      <c r="I154" s="6" t="n"/>
      <c r="J154" s="6" t="n"/>
      <c r="K154" s="7" t="n"/>
      <c r="L154" s="5" t="n"/>
      <c r="M154" s="5" t="n"/>
      <c r="N154" s="5" t="n"/>
    </row>
    <row r="155">
      <c r="A155" s="5" t="n"/>
      <c r="B155" s="6" t="n"/>
      <c r="C155" s="5" t="n"/>
      <c r="D155" s="5" t="n"/>
      <c r="E155" s="7" t="n"/>
      <c r="F155" s="6" t="n"/>
      <c r="G155" s="6" t="n"/>
      <c r="H155" s="6" t="n"/>
      <c r="I155" s="6" t="n"/>
      <c r="J155" s="6" t="n"/>
      <c r="K155" s="7" t="n"/>
      <c r="L155" s="5" t="n"/>
      <c r="M155" s="5" t="n"/>
      <c r="N155" s="5" t="n"/>
    </row>
    <row r="156">
      <c r="A156" s="5" t="n"/>
      <c r="B156" s="6" t="n"/>
      <c r="C156" s="5" t="n"/>
      <c r="D156" s="5" t="n"/>
      <c r="E156" s="7" t="n"/>
      <c r="F156" s="6" t="n"/>
      <c r="G156" s="6" t="n"/>
      <c r="H156" s="6" t="n"/>
      <c r="I156" s="6" t="n"/>
      <c r="J156" s="6" t="n"/>
      <c r="K156" s="7" t="n"/>
      <c r="L156" s="5" t="n"/>
      <c r="M156" s="5" t="n"/>
      <c r="N156" s="5" t="n"/>
    </row>
    <row r="157">
      <c r="A157" s="5" t="n"/>
      <c r="B157" s="6" t="n"/>
      <c r="C157" s="5" t="n"/>
      <c r="D157" s="5" t="n"/>
      <c r="E157" s="7" t="n"/>
      <c r="F157" s="6" t="n"/>
      <c r="G157" s="6" t="n"/>
      <c r="H157" s="6" t="n"/>
      <c r="I157" s="6" t="n"/>
      <c r="J157" s="6" t="n"/>
      <c r="K157" s="7" t="n"/>
      <c r="L157" s="5" t="n"/>
      <c r="M157" s="5" t="n"/>
      <c r="N157" s="5" t="n"/>
    </row>
    <row r="158">
      <c r="A158" s="5" t="n"/>
      <c r="B158" s="6" t="n"/>
      <c r="C158" s="5" t="n"/>
      <c r="D158" s="5" t="n"/>
      <c r="E158" s="7" t="n"/>
      <c r="F158" s="6" t="n"/>
      <c r="G158" s="6" t="n"/>
      <c r="H158" s="6" t="n"/>
      <c r="I158" s="6" t="n"/>
      <c r="J158" s="6" t="n"/>
      <c r="K158" s="7" t="n"/>
      <c r="L158" s="5" t="n"/>
      <c r="M158" s="5" t="n"/>
      <c r="N158" s="5" t="n"/>
    </row>
    <row r="159">
      <c r="A159" s="5" t="n"/>
      <c r="B159" s="6" t="n"/>
      <c r="C159" s="5" t="n"/>
      <c r="D159" s="5" t="n"/>
      <c r="E159" s="7" t="n"/>
      <c r="F159" s="6" t="n"/>
      <c r="G159" s="6" t="n"/>
      <c r="H159" s="6" t="n"/>
      <c r="I159" s="6" t="n"/>
      <c r="J159" s="6" t="n"/>
      <c r="K159" s="7" t="n"/>
      <c r="L159" s="5" t="n"/>
      <c r="M159" s="5" t="n"/>
      <c r="N159" s="5" t="n"/>
    </row>
    <row r="160">
      <c r="A160" s="5" t="n"/>
      <c r="B160" s="6" t="n"/>
      <c r="C160" s="5" t="n"/>
      <c r="D160" s="5" t="n"/>
      <c r="E160" s="7" t="n"/>
      <c r="F160" s="6" t="n"/>
      <c r="G160" s="6" t="n"/>
      <c r="H160" s="6" t="n"/>
      <c r="I160" s="6" t="n"/>
      <c r="J160" s="6" t="n"/>
      <c r="K160" s="7" t="n"/>
      <c r="L160" s="5" t="n"/>
      <c r="M160" s="5" t="n"/>
      <c r="N160" s="5" t="n"/>
    </row>
    <row r="161">
      <c r="A161" s="5" t="n"/>
      <c r="B161" s="6" t="n"/>
      <c r="C161" s="5" t="n"/>
      <c r="D161" s="5" t="n"/>
      <c r="E161" s="7" t="n"/>
      <c r="F161" s="6" t="n"/>
      <c r="G161" s="6" t="n"/>
      <c r="H161" s="6" t="n"/>
      <c r="I161" s="6" t="n"/>
      <c r="J161" s="6" t="n"/>
      <c r="K161" s="7" t="n"/>
      <c r="L161" s="5" t="n"/>
      <c r="M161" s="5" t="n"/>
      <c r="N161" s="5" t="n"/>
    </row>
    <row r="162">
      <c r="A162" s="5" t="n"/>
      <c r="B162" s="6" t="n"/>
      <c r="C162" s="5" t="n"/>
      <c r="D162" s="5" t="n"/>
      <c r="E162" s="7" t="n"/>
      <c r="F162" s="6" t="n"/>
      <c r="G162" s="6" t="n"/>
      <c r="H162" s="6" t="n"/>
      <c r="I162" s="6" t="n"/>
      <c r="J162" s="6" t="n"/>
      <c r="K162" s="7" t="n"/>
      <c r="L162" s="5" t="n"/>
      <c r="M162" s="5" t="n"/>
      <c r="N162" s="5" t="n"/>
    </row>
    <row r="163">
      <c r="A163" s="5" t="n"/>
      <c r="B163" s="6" t="n"/>
      <c r="C163" s="5" t="n"/>
      <c r="D163" s="5" t="n"/>
      <c r="E163" s="7" t="n"/>
      <c r="F163" s="6" t="n"/>
      <c r="G163" s="6" t="n"/>
      <c r="H163" s="6" t="n"/>
      <c r="I163" s="6" t="n"/>
      <c r="J163" s="6" t="n"/>
      <c r="K163" s="7" t="n"/>
      <c r="L163" s="5" t="n"/>
      <c r="M163" s="5" t="n"/>
      <c r="N163" s="5" t="n"/>
    </row>
    <row r="164">
      <c r="A164" s="5" t="n"/>
      <c r="B164" s="6" t="n"/>
      <c r="C164" s="5" t="n"/>
      <c r="D164" s="5" t="n"/>
      <c r="E164" s="7" t="n"/>
      <c r="F164" s="6" t="n"/>
      <c r="G164" s="6" t="n"/>
      <c r="H164" s="6" t="n"/>
      <c r="I164" s="6" t="n"/>
      <c r="J164" s="6" t="n"/>
      <c r="K164" s="7" t="n"/>
      <c r="L164" s="5" t="n"/>
      <c r="M164" s="5" t="n"/>
      <c r="N164" s="5" t="n"/>
    </row>
    <row r="165">
      <c r="A165" s="5" t="n"/>
      <c r="B165" s="6" t="n"/>
      <c r="C165" s="5" t="n"/>
      <c r="D165" s="5" t="n"/>
      <c r="E165" s="7" t="n"/>
      <c r="F165" s="6" t="n"/>
      <c r="G165" s="6" t="n"/>
      <c r="H165" s="6" t="n"/>
      <c r="I165" s="6" t="n"/>
      <c r="J165" s="6" t="n"/>
      <c r="K165" s="7" t="n"/>
      <c r="L165" s="5" t="n"/>
      <c r="M165" s="5" t="n"/>
      <c r="N165" s="5" t="n"/>
    </row>
    <row r="166">
      <c r="A166" s="5" t="n"/>
      <c r="B166" s="6" t="n"/>
      <c r="C166" s="5" t="n"/>
      <c r="D166" s="5" t="n"/>
      <c r="E166" s="7" t="n"/>
      <c r="F166" s="6" t="n"/>
      <c r="G166" s="6" t="n"/>
      <c r="H166" s="6" t="n"/>
      <c r="I166" s="6" t="n"/>
      <c r="J166" s="6" t="n"/>
      <c r="K166" s="7" t="n"/>
      <c r="L166" s="5" t="n"/>
      <c r="M166" s="5" t="n"/>
      <c r="N166" s="5" t="n"/>
    </row>
    <row r="167">
      <c r="A167" s="5" t="n"/>
      <c r="B167" s="6" t="n"/>
      <c r="C167" s="5" t="n"/>
      <c r="D167" s="5" t="n"/>
      <c r="E167" s="7" t="n"/>
      <c r="F167" s="6" t="n"/>
      <c r="G167" s="6" t="n"/>
      <c r="H167" s="6" t="n"/>
      <c r="I167" s="6" t="n"/>
      <c r="J167" s="6" t="n"/>
      <c r="K167" s="7" t="n"/>
      <c r="L167" s="5" t="n"/>
      <c r="M167" s="5" t="n"/>
      <c r="N167" s="5" t="n"/>
    </row>
    <row r="168">
      <c r="A168" s="5" t="n"/>
      <c r="B168" s="6" t="n"/>
      <c r="C168" s="5" t="n"/>
      <c r="D168" s="5" t="n"/>
      <c r="E168" s="7" t="n"/>
      <c r="F168" s="6" t="n"/>
      <c r="G168" s="6" t="n"/>
      <c r="H168" s="6" t="n"/>
      <c r="I168" s="6" t="n"/>
      <c r="J168" s="6" t="n"/>
      <c r="K168" s="7" t="n"/>
      <c r="L168" s="5" t="n"/>
      <c r="M168" s="5" t="n"/>
      <c r="N168" s="5" t="n"/>
    </row>
    <row r="169">
      <c r="A169" s="5" t="n"/>
      <c r="B169" s="6" t="n"/>
      <c r="C169" s="5" t="n"/>
      <c r="D169" s="5" t="n"/>
      <c r="E169" s="7" t="n"/>
      <c r="F169" s="6" t="n"/>
      <c r="G169" s="6" t="n"/>
      <c r="H169" s="6" t="n"/>
      <c r="I169" s="6" t="n"/>
      <c r="J169" s="6" t="n"/>
      <c r="K169" s="7" t="n"/>
      <c r="L169" s="5" t="n"/>
      <c r="M169" s="5" t="n"/>
      <c r="N169" s="5" t="n"/>
    </row>
    <row r="170">
      <c r="A170" s="5" t="n"/>
      <c r="B170" s="6" t="n"/>
      <c r="C170" s="5" t="n"/>
      <c r="D170" s="5" t="n"/>
      <c r="E170" s="7" t="n"/>
      <c r="F170" s="6" t="n"/>
      <c r="G170" s="6" t="n"/>
      <c r="H170" s="6" t="n"/>
      <c r="I170" s="6" t="n"/>
      <c r="J170" s="6" t="n"/>
      <c r="K170" s="7" t="n"/>
      <c r="L170" s="5" t="n"/>
      <c r="M170" s="5" t="n"/>
      <c r="N170" s="5" t="n"/>
    </row>
    <row r="171">
      <c r="A171" s="5" t="n"/>
      <c r="B171" s="6" t="n"/>
      <c r="C171" s="5" t="n"/>
      <c r="D171" s="5" t="n"/>
      <c r="E171" s="7" t="n"/>
      <c r="F171" s="6" t="n"/>
      <c r="G171" s="6" t="n"/>
      <c r="H171" s="6" t="n"/>
      <c r="I171" s="6" t="n"/>
      <c r="J171" s="6" t="n"/>
      <c r="K171" s="7" t="n"/>
      <c r="L171" s="5" t="n"/>
      <c r="M171" s="5" t="n"/>
      <c r="N171" s="5" t="n"/>
    </row>
    <row r="172">
      <c r="A172" s="5" t="n"/>
      <c r="B172" s="6" t="n"/>
      <c r="C172" s="5" t="n"/>
      <c r="D172" s="5" t="n"/>
      <c r="E172" s="7" t="n"/>
      <c r="F172" s="6" t="n"/>
      <c r="G172" s="6" t="n"/>
      <c r="H172" s="6" t="n"/>
      <c r="I172" s="6" t="n"/>
      <c r="J172" s="6" t="n"/>
      <c r="K172" s="7" t="n"/>
      <c r="L172" s="5" t="n"/>
      <c r="M172" s="5" t="n"/>
      <c r="N172" s="5" t="n"/>
    </row>
    <row r="173">
      <c r="A173" s="5" t="n"/>
      <c r="B173" s="6" t="n"/>
      <c r="C173" s="5" t="n"/>
      <c r="D173" s="5" t="n"/>
      <c r="E173" s="7" t="n"/>
      <c r="F173" s="6" t="n"/>
      <c r="G173" s="6" t="n"/>
      <c r="H173" s="6" t="n"/>
      <c r="I173" s="6" t="n"/>
      <c r="J173" s="6" t="n"/>
      <c r="K173" s="7" t="n"/>
      <c r="L173" s="5" t="n"/>
      <c r="M173" s="5" t="n"/>
      <c r="N173" s="5" t="n"/>
    </row>
    <row r="174">
      <c r="A174" s="5" t="n"/>
      <c r="B174" s="6" t="n"/>
      <c r="C174" s="5" t="n"/>
      <c r="D174" s="5" t="n"/>
      <c r="E174" s="7" t="n"/>
      <c r="F174" s="6" t="n"/>
      <c r="G174" s="6" t="n"/>
      <c r="H174" s="6" t="n"/>
      <c r="I174" s="6" t="n"/>
      <c r="J174" s="6" t="n"/>
      <c r="K174" s="7" t="n"/>
      <c r="L174" s="5" t="n"/>
      <c r="M174" s="5" t="n"/>
      <c r="N174" s="5" t="n"/>
    </row>
    <row r="175">
      <c r="A175" s="5" t="n"/>
      <c r="B175" s="6" t="n"/>
      <c r="C175" s="5" t="n"/>
      <c r="D175" s="5" t="n"/>
      <c r="E175" s="7" t="n"/>
      <c r="F175" s="6" t="n"/>
      <c r="G175" s="6" t="n"/>
      <c r="H175" s="6" t="n"/>
      <c r="I175" s="6" t="n"/>
      <c r="J175" s="6" t="n"/>
      <c r="K175" s="7" t="n"/>
      <c r="L175" s="5" t="n"/>
      <c r="M175" s="5" t="n"/>
      <c r="N175" s="5" t="n"/>
    </row>
    <row r="176">
      <c r="A176" s="5" t="n"/>
      <c r="B176" s="6" t="n"/>
      <c r="C176" s="5" t="n"/>
      <c r="D176" s="5" t="n"/>
      <c r="E176" s="7" t="n"/>
      <c r="F176" s="6" t="n"/>
      <c r="G176" s="6" t="n"/>
      <c r="H176" s="6" t="n"/>
      <c r="I176" s="6" t="n"/>
      <c r="J176" s="6" t="n"/>
      <c r="K176" s="7" t="n"/>
      <c r="L176" s="5" t="n"/>
      <c r="M176" s="5" t="n"/>
      <c r="N176" s="5" t="n"/>
    </row>
    <row r="177">
      <c r="A177" s="5" t="n"/>
      <c r="B177" s="6" t="n"/>
      <c r="C177" s="5" t="n"/>
      <c r="D177" s="5" t="n"/>
      <c r="E177" s="7" t="n"/>
      <c r="F177" s="6" t="n"/>
      <c r="G177" s="6" t="n"/>
      <c r="H177" s="6" t="n"/>
      <c r="I177" s="6" t="n"/>
      <c r="J177" s="6" t="n"/>
      <c r="K177" s="7" t="n"/>
      <c r="L177" s="5" t="n"/>
      <c r="M177" s="5" t="n"/>
      <c r="N177" s="5" t="n"/>
    </row>
    <row r="178">
      <c r="A178" s="5" t="n"/>
      <c r="B178" s="6" t="n"/>
      <c r="C178" s="5" t="n"/>
      <c r="D178" s="5" t="n"/>
      <c r="E178" s="7" t="n"/>
      <c r="F178" s="6" t="n"/>
      <c r="G178" s="6" t="n"/>
      <c r="H178" s="6" t="n"/>
      <c r="I178" s="6" t="n"/>
      <c r="J178" s="6" t="n"/>
      <c r="K178" s="7" t="n"/>
      <c r="L178" s="5" t="n"/>
      <c r="M178" s="5" t="n"/>
      <c r="N178" s="5" t="n"/>
    </row>
    <row r="179">
      <c r="A179" s="5" t="n"/>
      <c r="B179" s="6" t="n"/>
      <c r="C179" s="5" t="n"/>
      <c r="D179" s="5" t="n"/>
      <c r="E179" s="7" t="n"/>
      <c r="F179" s="6" t="n"/>
      <c r="G179" s="6" t="n"/>
      <c r="H179" s="6" t="n"/>
      <c r="I179" s="6" t="n"/>
      <c r="J179" s="6" t="n"/>
      <c r="K179" s="7" t="n"/>
      <c r="L179" s="5" t="n"/>
      <c r="M179" s="5" t="n"/>
      <c r="N179" s="5" t="n"/>
    </row>
    <row r="180">
      <c r="A180" s="5" t="n"/>
      <c r="B180" s="6" t="n"/>
      <c r="C180" s="5" t="n"/>
      <c r="D180" s="5" t="n"/>
      <c r="E180" s="7" t="n"/>
      <c r="F180" s="6" t="n"/>
      <c r="G180" s="6" t="n"/>
      <c r="H180" s="6" t="n"/>
      <c r="I180" s="6" t="n"/>
      <c r="J180" s="6" t="n"/>
      <c r="K180" s="7" t="n"/>
      <c r="L180" s="5" t="n"/>
      <c r="M180" s="5" t="n"/>
      <c r="N180" s="5" t="n"/>
    </row>
    <row r="181">
      <c r="A181" s="5" t="n"/>
      <c r="B181" s="6" t="n"/>
      <c r="C181" s="5" t="n"/>
      <c r="D181" s="5" t="n"/>
      <c r="E181" s="7" t="n"/>
      <c r="F181" s="6" t="n"/>
      <c r="G181" s="6" t="n"/>
      <c r="H181" s="6" t="n"/>
      <c r="I181" s="6" t="n"/>
      <c r="J181" s="6" t="n"/>
      <c r="K181" s="7" t="n"/>
      <c r="L181" s="5" t="n"/>
      <c r="M181" s="5" t="n"/>
      <c r="N181" s="5" t="n"/>
    </row>
    <row r="182">
      <c r="A182" s="5" t="n"/>
      <c r="B182" s="6" t="n"/>
      <c r="C182" s="5" t="n"/>
      <c r="D182" s="5" t="n"/>
      <c r="E182" s="7" t="n"/>
      <c r="F182" s="6" t="n"/>
      <c r="G182" s="6" t="n"/>
      <c r="H182" s="6" t="n"/>
      <c r="I182" s="6" t="n"/>
      <c r="J182" s="6" t="n"/>
      <c r="K182" s="7" t="n"/>
      <c r="L182" s="5" t="n"/>
      <c r="M182" s="5" t="n"/>
      <c r="N182" s="5" t="n"/>
    </row>
    <row r="183">
      <c r="A183" s="5" t="n"/>
      <c r="B183" s="6" t="n"/>
      <c r="C183" s="5" t="n"/>
      <c r="D183" s="5" t="n"/>
      <c r="E183" s="7" t="n"/>
      <c r="F183" s="6" t="n"/>
      <c r="G183" s="6" t="n"/>
      <c r="H183" s="6" t="n"/>
      <c r="I183" s="6" t="n"/>
      <c r="J183" s="6" t="n"/>
      <c r="K183" s="7" t="n"/>
      <c r="L183" s="5" t="n"/>
      <c r="M183" s="5" t="n"/>
      <c r="N183" s="5" t="n"/>
    </row>
    <row r="184">
      <c r="A184" s="5" t="n"/>
      <c r="B184" s="6" t="n"/>
      <c r="C184" s="5" t="n"/>
      <c r="D184" s="5" t="n"/>
      <c r="E184" s="7" t="n"/>
      <c r="F184" s="6" t="n"/>
      <c r="G184" s="6" t="n"/>
      <c r="H184" s="6" t="n"/>
      <c r="I184" s="6" t="n"/>
      <c r="J184" s="6" t="n"/>
      <c r="K184" s="7" t="n"/>
      <c r="L184" s="5" t="n"/>
      <c r="M184" s="5" t="n"/>
      <c r="N184" s="5" t="n"/>
    </row>
    <row r="185">
      <c r="A185" s="5" t="n"/>
      <c r="B185" s="6" t="n"/>
      <c r="C185" s="5" t="n"/>
      <c r="D185" s="5" t="n"/>
      <c r="E185" s="7" t="n"/>
      <c r="F185" s="6" t="n"/>
      <c r="G185" s="6" t="n"/>
      <c r="H185" s="6" t="n"/>
      <c r="I185" s="6" t="n"/>
      <c r="J185" s="6" t="n"/>
      <c r="K185" s="7" t="n"/>
      <c r="L185" s="5" t="n"/>
      <c r="M185" s="5" t="n"/>
      <c r="N185" s="5" t="n"/>
    </row>
    <row r="186">
      <c r="A186" s="5" t="n"/>
      <c r="B186" s="6" t="n"/>
      <c r="C186" s="5" t="n"/>
      <c r="D186" s="5" t="n"/>
      <c r="E186" s="7" t="n"/>
      <c r="F186" s="6" t="n"/>
      <c r="G186" s="6" t="n"/>
      <c r="H186" s="6" t="n"/>
      <c r="I186" s="6" t="n"/>
      <c r="J186" s="6" t="n"/>
      <c r="K186" s="7" t="n"/>
      <c r="L186" s="5" t="n"/>
      <c r="M186" s="5" t="n"/>
      <c r="N186" s="5" t="n"/>
    </row>
    <row r="187">
      <c r="A187" s="5" t="n"/>
      <c r="B187" s="6" t="n"/>
      <c r="C187" s="5" t="n"/>
      <c r="D187" s="5" t="n"/>
      <c r="E187" s="7" t="n"/>
      <c r="F187" s="6" t="n"/>
      <c r="G187" s="6" t="n"/>
      <c r="H187" s="6" t="n"/>
      <c r="I187" s="6" t="n"/>
      <c r="J187" s="6" t="n"/>
      <c r="K187" s="7" t="n"/>
      <c r="L187" s="5" t="n"/>
      <c r="M187" s="5" t="n"/>
      <c r="N187" s="5" t="n"/>
    </row>
    <row r="188">
      <c r="A188" s="5" t="n"/>
      <c r="B188" s="6" t="n"/>
      <c r="C188" s="5" t="n"/>
      <c r="D188" s="5" t="n"/>
      <c r="E188" s="7" t="n"/>
      <c r="F188" s="6" t="n"/>
      <c r="G188" s="6" t="n"/>
      <c r="H188" s="6" t="n"/>
      <c r="I188" s="6" t="n"/>
      <c r="J188" s="6" t="n"/>
      <c r="K188" s="7" t="n"/>
      <c r="L188" s="5" t="n"/>
      <c r="M188" s="5" t="n"/>
      <c r="N188" s="5" t="n"/>
    </row>
    <row r="189">
      <c r="A189" s="5" t="n"/>
      <c r="B189" s="6" t="n"/>
      <c r="C189" s="5" t="n"/>
      <c r="D189" s="5" t="n"/>
      <c r="E189" s="7" t="n"/>
      <c r="F189" s="6" t="n"/>
      <c r="G189" s="6" t="n"/>
      <c r="H189" s="6" t="n"/>
      <c r="I189" s="6" t="n"/>
      <c r="J189" s="6" t="n"/>
      <c r="K189" s="7" t="n"/>
      <c r="L189" s="5" t="n"/>
      <c r="M189" s="5" t="n"/>
      <c r="N189" s="5" t="n"/>
    </row>
    <row r="190">
      <c r="A190" s="5" t="n"/>
      <c r="B190" s="6" t="n"/>
      <c r="C190" s="5" t="n"/>
      <c r="D190" s="5" t="n"/>
      <c r="E190" s="7" t="n"/>
      <c r="F190" s="6" t="n"/>
      <c r="G190" s="6" t="n"/>
      <c r="H190" s="6" t="n"/>
      <c r="I190" s="6" t="n"/>
      <c r="J190" s="6" t="n"/>
      <c r="K190" s="7" t="n"/>
      <c r="L190" s="5" t="n"/>
      <c r="M190" s="5" t="n"/>
      <c r="N190" s="5" t="n"/>
    </row>
    <row r="191">
      <c r="A191" s="5" t="n"/>
      <c r="B191" s="6" t="n"/>
      <c r="C191" s="5" t="n"/>
      <c r="D191" s="5" t="n"/>
      <c r="E191" s="7" t="n"/>
      <c r="F191" s="6" t="n"/>
      <c r="G191" s="6" t="n"/>
      <c r="H191" s="6" t="n"/>
      <c r="I191" s="6" t="n"/>
      <c r="J191" s="6" t="n"/>
      <c r="K191" s="7" t="n"/>
      <c r="L191" s="5" t="n"/>
      <c r="M191" s="5" t="n"/>
      <c r="N191" s="5" t="n"/>
    </row>
    <row r="192">
      <c r="A192" s="5" t="n"/>
      <c r="B192" s="6" t="n"/>
      <c r="C192" s="5" t="n"/>
      <c r="D192" s="5" t="n"/>
      <c r="E192" s="7" t="n"/>
      <c r="F192" s="6" t="n"/>
      <c r="G192" s="6" t="n"/>
      <c r="H192" s="6" t="n"/>
      <c r="I192" s="6" t="n"/>
      <c r="J192" s="6" t="n"/>
      <c r="K192" s="7" t="n"/>
      <c r="L192" s="5" t="n"/>
      <c r="M192" s="5" t="n"/>
      <c r="N192" s="5" t="n"/>
    </row>
    <row r="193">
      <c r="A193" s="5" t="n"/>
      <c r="B193" s="6" t="n"/>
      <c r="C193" s="5" t="n"/>
      <c r="D193" s="5" t="n"/>
      <c r="E193" s="7" t="n"/>
      <c r="F193" s="6" t="n"/>
      <c r="G193" s="6" t="n"/>
      <c r="H193" s="6" t="n"/>
      <c r="I193" s="6" t="n"/>
      <c r="J193" s="6" t="n"/>
      <c r="K193" s="7" t="n"/>
      <c r="L193" s="5" t="n"/>
      <c r="M193" s="5" t="n"/>
      <c r="N193" s="5" t="n"/>
    </row>
    <row r="194">
      <c r="A194" s="5" t="n"/>
      <c r="B194" s="6" t="n"/>
      <c r="C194" s="5" t="n"/>
      <c r="D194" s="5" t="n"/>
      <c r="E194" s="7" t="n"/>
      <c r="F194" s="6" t="n"/>
      <c r="G194" s="6" t="n"/>
      <c r="H194" s="6" t="n"/>
      <c r="I194" s="6" t="n"/>
      <c r="J194" s="6" t="n"/>
      <c r="K194" s="7" t="n"/>
      <c r="L194" s="5" t="n"/>
      <c r="M194" s="5" t="n"/>
      <c r="N194" s="5" t="n"/>
    </row>
    <row r="195">
      <c r="A195" s="5" t="n"/>
      <c r="B195" s="6" t="n"/>
      <c r="C195" s="5" t="n"/>
      <c r="D195" s="5" t="n"/>
      <c r="E195" s="7" t="n"/>
      <c r="F195" s="6" t="n"/>
      <c r="G195" s="6" t="n"/>
      <c r="H195" s="6" t="n"/>
      <c r="I195" s="6" t="n"/>
      <c r="J195" s="6" t="n"/>
      <c r="K195" s="7" t="n"/>
      <c r="L195" s="5" t="n"/>
      <c r="M195" s="5" t="n"/>
      <c r="N195" s="5" t="n"/>
    </row>
    <row r="196">
      <c r="A196" s="5" t="n"/>
      <c r="B196" s="6" t="n"/>
      <c r="C196" s="5" t="n"/>
      <c r="D196" s="5" t="n"/>
      <c r="E196" s="7" t="n"/>
      <c r="F196" s="6" t="n"/>
      <c r="G196" s="6" t="n"/>
      <c r="H196" s="6" t="n"/>
      <c r="I196" s="6" t="n"/>
      <c r="J196" s="6" t="n"/>
      <c r="K196" s="7" t="n"/>
      <c r="L196" s="5" t="n"/>
      <c r="M196" s="5" t="n"/>
      <c r="N196" s="5" t="n"/>
    </row>
    <row r="197">
      <c r="A197" s="5" t="n"/>
      <c r="B197" s="6" t="n"/>
      <c r="C197" s="5" t="n"/>
      <c r="D197" s="5" t="n"/>
      <c r="E197" s="7" t="n"/>
      <c r="F197" s="6" t="n"/>
      <c r="G197" s="6" t="n"/>
      <c r="H197" s="6" t="n"/>
      <c r="I197" s="6" t="n"/>
      <c r="J197" s="6" t="n"/>
      <c r="K197" s="7" t="n"/>
      <c r="L197" s="5" t="n"/>
      <c r="M197" s="5" t="n"/>
      <c r="N197" s="5" t="n"/>
    </row>
    <row r="198">
      <c r="A198" s="5" t="n"/>
      <c r="B198" s="6" t="n"/>
      <c r="C198" s="5" t="n"/>
      <c r="D198" s="5" t="n"/>
      <c r="E198" s="7" t="n"/>
      <c r="F198" s="6" t="n"/>
      <c r="G198" s="6" t="n"/>
      <c r="H198" s="6" t="n"/>
      <c r="I198" s="6" t="n"/>
      <c r="J198" s="6" t="n"/>
      <c r="K198" s="7" t="n"/>
      <c r="L198" s="5" t="n"/>
      <c r="M198" s="5" t="n"/>
      <c r="N198" s="5" t="n"/>
    </row>
    <row r="199">
      <c r="A199" s="5" t="n"/>
      <c r="B199" s="6" t="n"/>
      <c r="C199" s="5" t="n"/>
      <c r="D199" s="5" t="n"/>
      <c r="E199" s="7" t="n"/>
      <c r="F199" s="6" t="n"/>
      <c r="G199" s="6" t="n"/>
      <c r="H199" s="6" t="n"/>
      <c r="I199" s="6" t="n"/>
      <c r="J199" s="6" t="n"/>
      <c r="K199" s="7" t="n"/>
      <c r="L199" s="5" t="n"/>
      <c r="M199" s="5" t="n"/>
      <c r="N199" s="5" t="n"/>
    </row>
    <row r="200">
      <c r="A200" s="5" t="n"/>
      <c r="B200" s="6" t="n"/>
      <c r="C200" s="5" t="n"/>
      <c r="D200" s="5" t="n"/>
      <c r="E200" s="7" t="n"/>
      <c r="F200" s="6" t="n"/>
      <c r="G200" s="6" t="n"/>
      <c r="H200" s="6" t="n"/>
      <c r="I200" s="6" t="n"/>
      <c r="J200" s="6" t="n"/>
      <c r="K200" s="7" t="n"/>
      <c r="L200" s="5" t="n"/>
      <c r="M200" s="5" t="n"/>
      <c r="N200" s="5" t="n"/>
    </row>
    <row r="201">
      <c r="A201" s="5" t="n"/>
      <c r="B201" s="6" t="n"/>
      <c r="C201" s="5" t="n"/>
      <c r="D201" s="5" t="n"/>
      <c r="E201" s="7" t="n"/>
      <c r="F201" s="6" t="n"/>
      <c r="G201" s="6" t="n"/>
      <c r="H201" s="6" t="n"/>
      <c r="I201" s="6" t="n"/>
      <c r="J201" s="6" t="n"/>
      <c r="K201" s="7" t="n"/>
      <c r="L201" s="5" t="n"/>
      <c r="M201" s="5" t="n"/>
      <c r="N201" s="5" t="n"/>
    </row>
    <row r="202">
      <c r="A202" s="5" t="n"/>
      <c r="B202" s="6" t="n"/>
      <c r="C202" s="5" t="n"/>
      <c r="D202" s="5" t="n"/>
      <c r="E202" s="7" t="n"/>
      <c r="F202" s="6" t="n"/>
      <c r="G202" s="6" t="n"/>
      <c r="H202" s="6" t="n"/>
      <c r="I202" s="6" t="n"/>
      <c r="J202" s="6" t="n"/>
      <c r="K202" s="7" t="n"/>
      <c r="L202" s="5" t="n"/>
      <c r="M202" s="5" t="n"/>
      <c r="N202" s="5" t="n"/>
    </row>
    <row r="203">
      <c r="A203" s="5" t="n"/>
      <c r="B203" s="6" t="n"/>
      <c r="C203" s="5" t="n"/>
      <c r="D203" s="5" t="n"/>
      <c r="E203" s="7" t="n"/>
      <c r="F203" s="6" t="n"/>
      <c r="G203" s="6" t="n"/>
      <c r="H203" s="6" t="n"/>
      <c r="I203" s="6" t="n"/>
      <c r="J203" s="6" t="n"/>
      <c r="K203" s="7" t="n"/>
      <c r="L203" s="5" t="n"/>
      <c r="M203" s="5" t="n"/>
      <c r="N203" s="5" t="n"/>
    </row>
    <row r="204">
      <c r="A204" s="5" t="n"/>
      <c r="B204" s="6" t="n"/>
      <c r="C204" s="5" t="n"/>
      <c r="D204" s="5" t="n"/>
      <c r="E204" s="7" t="n"/>
      <c r="F204" s="6" t="n"/>
      <c r="G204" s="6" t="n"/>
      <c r="H204" s="6" t="n"/>
      <c r="I204" s="6" t="n"/>
      <c r="J204" s="6" t="n"/>
      <c r="K204" s="7" t="n"/>
      <c r="L204" s="5" t="n"/>
      <c r="M204" s="5" t="n"/>
      <c r="N204" s="5" t="n"/>
    </row>
    <row r="205">
      <c r="A205" s="5" t="n"/>
      <c r="B205" s="6" t="n"/>
      <c r="C205" s="5" t="n"/>
      <c r="D205" s="5" t="n"/>
      <c r="E205" s="7" t="n"/>
      <c r="F205" s="6" t="n"/>
      <c r="G205" s="6" t="n"/>
      <c r="H205" s="6" t="n"/>
      <c r="I205" s="6" t="n"/>
      <c r="J205" s="6" t="n"/>
      <c r="K205" s="7" t="n"/>
      <c r="L205" s="5" t="n"/>
      <c r="M205" s="5" t="n"/>
      <c r="N205" s="5" t="n"/>
    </row>
    <row r="206">
      <c r="A206" s="5" t="n"/>
      <c r="B206" s="6" t="n"/>
      <c r="C206" s="5" t="n"/>
      <c r="D206" s="5" t="n"/>
      <c r="E206" s="7" t="n"/>
      <c r="F206" s="6" t="n"/>
      <c r="G206" s="6" t="n"/>
      <c r="H206" s="6" t="n"/>
      <c r="I206" s="6" t="n"/>
      <c r="J206" s="6" t="n"/>
      <c r="K206" s="7" t="n"/>
      <c r="L206" s="5" t="n"/>
      <c r="M206" s="5" t="n"/>
      <c r="N206" s="5" t="n"/>
    </row>
    <row r="207">
      <c r="A207" s="5" t="n"/>
      <c r="B207" s="6" t="n"/>
      <c r="C207" s="5" t="n"/>
      <c r="D207" s="5" t="n"/>
      <c r="E207" s="7" t="n"/>
      <c r="F207" s="6" t="n"/>
      <c r="G207" s="6" t="n"/>
      <c r="H207" s="6" t="n"/>
      <c r="I207" s="6" t="n"/>
      <c r="J207" s="6" t="n"/>
      <c r="K207" s="7" t="n"/>
      <c r="L207" s="5" t="n"/>
      <c r="M207" s="5" t="n"/>
      <c r="N207" s="5" t="n"/>
    </row>
    <row r="208">
      <c r="A208" s="5" t="n"/>
      <c r="B208" s="6" t="n"/>
      <c r="C208" s="5" t="n"/>
      <c r="D208" s="5" t="n"/>
      <c r="E208" s="7" t="n"/>
      <c r="F208" s="6" t="n"/>
      <c r="G208" s="6" t="n"/>
      <c r="H208" s="6" t="n"/>
      <c r="I208" s="6" t="n"/>
      <c r="J208" s="6" t="n"/>
      <c r="K208" s="7" t="n"/>
      <c r="L208" s="5" t="n"/>
      <c r="M208" s="5" t="n"/>
      <c r="N208" s="5" t="n"/>
    </row>
    <row r="209">
      <c r="A209" s="5" t="n"/>
      <c r="B209" s="6" t="n"/>
      <c r="C209" s="5" t="n"/>
      <c r="D209" s="5" t="n"/>
      <c r="E209" s="7" t="n"/>
      <c r="F209" s="6" t="n"/>
      <c r="G209" s="6" t="n"/>
      <c r="H209" s="6" t="n"/>
      <c r="I209" s="6" t="n"/>
      <c r="J209" s="6" t="n"/>
      <c r="K209" s="7" t="n"/>
      <c r="L209" s="5" t="n"/>
      <c r="M209" s="5" t="n"/>
      <c r="N209" s="5" t="n"/>
    </row>
    <row r="210">
      <c r="A210" s="5" t="n"/>
      <c r="B210" s="6" t="n"/>
      <c r="C210" s="5" t="n"/>
      <c r="D210" s="5" t="n"/>
      <c r="E210" s="7" t="n"/>
      <c r="F210" s="6" t="n"/>
      <c r="G210" s="6" t="n"/>
      <c r="H210" s="6" t="n"/>
      <c r="I210" s="6" t="n"/>
      <c r="J210" s="6" t="n"/>
      <c r="K210" s="7" t="n"/>
      <c r="L210" s="5" t="n"/>
      <c r="M210" s="5" t="n"/>
      <c r="N210" s="5" t="n"/>
    </row>
    <row r="211">
      <c r="A211" s="5" t="n"/>
      <c r="B211" s="6" t="n"/>
      <c r="C211" s="5" t="n"/>
      <c r="D211" s="5" t="n"/>
      <c r="E211" s="7" t="n"/>
      <c r="F211" s="6" t="n"/>
      <c r="G211" s="6" t="n"/>
      <c r="H211" s="6" t="n"/>
      <c r="I211" s="6" t="n"/>
      <c r="J211" s="6" t="n"/>
      <c r="K211" s="7" t="n"/>
      <c r="L211" s="5" t="n"/>
      <c r="M211" s="5" t="n"/>
      <c r="N211" s="5" t="n"/>
    </row>
    <row r="212">
      <c r="A212" s="5" t="n"/>
      <c r="B212" s="6" t="n"/>
      <c r="C212" s="5" t="n"/>
      <c r="D212" s="5" t="n"/>
      <c r="E212" s="7" t="n"/>
      <c r="F212" s="6" t="n"/>
      <c r="G212" s="6" t="n"/>
      <c r="H212" s="6" t="n"/>
      <c r="I212" s="6" t="n"/>
      <c r="J212" s="6" t="n"/>
      <c r="K212" s="7" t="n"/>
      <c r="L212" s="5" t="n"/>
      <c r="M212" s="5" t="n"/>
      <c r="N212" s="5" t="n"/>
    </row>
    <row r="213">
      <c r="A213" s="5" t="n"/>
      <c r="B213" s="6" t="n"/>
      <c r="C213" s="5" t="n"/>
      <c r="D213" s="5" t="n"/>
      <c r="E213" s="7" t="n"/>
      <c r="F213" s="6" t="n"/>
      <c r="G213" s="6" t="n"/>
      <c r="H213" s="6" t="n"/>
      <c r="I213" s="6" t="n"/>
      <c r="J213" s="6" t="n"/>
      <c r="K213" s="7" t="n"/>
      <c r="L213" s="5" t="n"/>
      <c r="M213" s="5" t="n"/>
      <c r="N213" s="5" t="n"/>
    </row>
    <row r="214">
      <c r="A214" s="5" t="n"/>
      <c r="B214" s="6" t="n"/>
      <c r="C214" s="5" t="n"/>
      <c r="D214" s="5" t="n"/>
      <c r="E214" s="7" t="n"/>
      <c r="F214" s="6" t="n"/>
      <c r="G214" s="6" t="n"/>
      <c r="H214" s="6" t="n"/>
      <c r="I214" s="6" t="n"/>
      <c r="J214" s="6" t="n"/>
      <c r="K214" s="7" t="n"/>
      <c r="L214" s="5" t="n"/>
      <c r="M214" s="5" t="n"/>
      <c r="N214" s="5" t="n"/>
    </row>
    <row r="215">
      <c r="A215" s="5" t="n"/>
      <c r="B215" s="6" t="n"/>
      <c r="C215" s="5" t="n"/>
      <c r="D215" s="5" t="n"/>
      <c r="E215" s="7" t="n"/>
      <c r="F215" s="6" t="n"/>
      <c r="G215" s="6" t="n"/>
      <c r="H215" s="6" t="n"/>
      <c r="I215" s="6" t="n"/>
      <c r="J215" s="6" t="n"/>
      <c r="K215" s="7" t="n"/>
      <c r="L215" s="5" t="n"/>
      <c r="M215" s="5" t="n"/>
      <c r="N215" s="5" t="n"/>
    </row>
    <row r="216">
      <c r="A216" s="5" t="n"/>
      <c r="B216" s="6" t="n"/>
      <c r="C216" s="5" t="n"/>
      <c r="D216" s="5" t="n"/>
      <c r="E216" s="7" t="n"/>
      <c r="F216" s="6" t="n"/>
      <c r="G216" s="6" t="n"/>
      <c r="H216" s="6" t="n"/>
      <c r="I216" s="6" t="n"/>
      <c r="J216" s="6" t="n"/>
      <c r="K216" s="7" t="n"/>
      <c r="L216" s="5" t="n"/>
      <c r="M216" s="5" t="n"/>
      <c r="N216" s="5" t="n"/>
    </row>
    <row r="217">
      <c r="A217" s="5" t="n"/>
      <c r="B217" s="6" t="n"/>
      <c r="C217" s="5" t="n"/>
      <c r="D217" s="5" t="n"/>
      <c r="E217" s="7" t="n"/>
      <c r="F217" s="6" t="n"/>
      <c r="G217" s="6" t="n"/>
      <c r="H217" s="6" t="n"/>
      <c r="I217" s="6" t="n"/>
      <c r="J217" s="6" t="n"/>
      <c r="K217" s="7" t="n"/>
      <c r="L217" s="5" t="n"/>
      <c r="M217" s="5" t="n"/>
      <c r="N217" s="5" t="n"/>
    </row>
    <row r="218">
      <c r="A218" s="5" t="n"/>
      <c r="B218" s="6" t="n"/>
      <c r="C218" s="5" t="n"/>
      <c r="D218" s="5" t="n"/>
      <c r="E218" s="7" t="n"/>
      <c r="F218" s="6" t="n"/>
      <c r="G218" s="6" t="n"/>
      <c r="H218" s="6" t="n"/>
      <c r="I218" s="6" t="n"/>
      <c r="J218" s="6" t="n"/>
      <c r="K218" s="7" t="n"/>
      <c r="L218" s="5" t="n"/>
      <c r="M218" s="5" t="n"/>
      <c r="N218" s="5" t="n"/>
    </row>
    <row r="219">
      <c r="A219" s="5" t="n"/>
      <c r="B219" s="6" t="n"/>
      <c r="C219" s="5" t="n"/>
      <c r="D219" s="5" t="n"/>
      <c r="E219" s="7" t="n"/>
      <c r="F219" s="6" t="n"/>
      <c r="G219" s="6" t="n"/>
      <c r="H219" s="6" t="n"/>
      <c r="I219" s="6" t="n"/>
      <c r="J219" s="6" t="n"/>
      <c r="K219" s="7" t="n"/>
      <c r="L219" s="5" t="n"/>
      <c r="M219" s="5" t="n"/>
      <c r="N219" s="5" t="n"/>
    </row>
    <row r="220">
      <c r="A220" s="5" t="n"/>
      <c r="B220" s="6" t="n"/>
      <c r="C220" s="5" t="n"/>
      <c r="D220" s="5" t="n"/>
      <c r="E220" s="7" t="n"/>
      <c r="F220" s="6" t="n"/>
      <c r="G220" s="6" t="n"/>
      <c r="H220" s="6" t="n"/>
      <c r="I220" s="6" t="n"/>
      <c r="J220" s="6" t="n"/>
      <c r="K220" s="7" t="n"/>
      <c r="L220" s="5" t="n"/>
      <c r="M220" s="5" t="n"/>
      <c r="N220" s="5" t="n"/>
    </row>
    <row r="221">
      <c r="A221" s="5" t="n"/>
      <c r="B221" s="6" t="n"/>
      <c r="C221" s="5" t="n"/>
      <c r="D221" s="5" t="n"/>
      <c r="E221" s="7" t="n"/>
      <c r="F221" s="6" t="n"/>
      <c r="G221" s="6" t="n"/>
      <c r="H221" s="6" t="n"/>
      <c r="I221" s="6" t="n"/>
      <c r="J221" s="6" t="n"/>
      <c r="K221" s="7" t="n"/>
      <c r="L221" s="5" t="n"/>
      <c r="M221" s="5" t="n"/>
      <c r="N221" s="5" t="n"/>
    </row>
    <row r="222">
      <c r="A222" s="5" t="n"/>
      <c r="B222" s="6" t="n"/>
      <c r="C222" s="5" t="n"/>
      <c r="D222" s="5" t="n"/>
      <c r="E222" s="7" t="n"/>
      <c r="F222" s="6" t="n"/>
      <c r="G222" s="6" t="n"/>
      <c r="H222" s="6" t="n"/>
      <c r="I222" s="6" t="n"/>
      <c r="J222" s="6" t="n"/>
      <c r="K222" s="7" t="n"/>
      <c r="L222" s="5" t="n"/>
      <c r="M222" s="5" t="n"/>
      <c r="N222" s="5" t="n"/>
    </row>
    <row r="223">
      <c r="A223" s="5" t="n"/>
      <c r="B223" s="6" t="n"/>
      <c r="C223" s="5" t="n"/>
      <c r="D223" s="5" t="n"/>
      <c r="E223" s="7" t="n"/>
      <c r="F223" s="6" t="n"/>
      <c r="G223" s="6" t="n"/>
      <c r="H223" s="6" t="n"/>
      <c r="I223" s="6" t="n"/>
      <c r="J223" s="6" t="n"/>
      <c r="K223" s="7" t="n"/>
      <c r="L223" s="5" t="n"/>
      <c r="M223" s="5" t="n"/>
      <c r="N223" s="5" t="n"/>
    </row>
    <row r="224">
      <c r="A224" s="5" t="n"/>
      <c r="B224" s="6" t="n"/>
      <c r="C224" s="5" t="n"/>
      <c r="D224" s="5" t="n"/>
      <c r="E224" s="7" t="n"/>
      <c r="F224" s="6" t="n"/>
      <c r="G224" s="6" t="n"/>
      <c r="H224" s="6" t="n"/>
      <c r="I224" s="6" t="n"/>
      <c r="J224" s="6" t="n"/>
      <c r="K224" s="7" t="n"/>
      <c r="L224" s="5" t="n"/>
      <c r="M224" s="5" t="n"/>
      <c r="N224" s="5" t="n"/>
    </row>
    <row r="225">
      <c r="A225" s="5" t="n"/>
      <c r="B225" s="6" t="n"/>
      <c r="C225" s="5" t="n"/>
      <c r="D225" s="5" t="n"/>
      <c r="E225" s="7" t="n"/>
      <c r="F225" s="6" t="n"/>
      <c r="G225" s="6" t="n"/>
      <c r="H225" s="6" t="n"/>
      <c r="I225" s="6" t="n"/>
      <c r="J225" s="6" t="n"/>
      <c r="K225" s="7" t="n"/>
      <c r="L225" s="5" t="n"/>
      <c r="M225" s="5" t="n"/>
      <c r="N225" s="5" t="n"/>
    </row>
    <row r="226">
      <c r="A226" s="5" t="n"/>
      <c r="B226" s="6" t="n"/>
      <c r="C226" s="5" t="n"/>
      <c r="D226" s="5" t="n"/>
      <c r="E226" s="7" t="n"/>
      <c r="F226" s="6" t="n"/>
      <c r="G226" s="6" t="n"/>
      <c r="H226" s="6" t="n"/>
      <c r="I226" s="6" t="n"/>
      <c r="J226" s="6" t="n"/>
      <c r="K226" s="7" t="n"/>
      <c r="L226" s="5" t="n"/>
      <c r="M226" s="5" t="n"/>
      <c r="N226" s="5" t="n"/>
    </row>
    <row r="227">
      <c r="A227" s="5" t="n"/>
      <c r="B227" s="6" t="n"/>
      <c r="C227" s="5" t="n"/>
      <c r="D227" s="5" t="n"/>
      <c r="E227" s="7" t="n"/>
      <c r="F227" s="6" t="n"/>
      <c r="G227" s="6" t="n"/>
      <c r="H227" s="6" t="n"/>
      <c r="I227" s="6" t="n"/>
      <c r="J227" s="6" t="n"/>
      <c r="K227" s="7" t="n"/>
      <c r="L227" s="5" t="n"/>
      <c r="M227" s="5" t="n"/>
      <c r="N227" s="5" t="n"/>
    </row>
    <row r="228">
      <c r="A228" s="5" t="n"/>
      <c r="B228" s="6" t="n"/>
      <c r="C228" s="5" t="n"/>
      <c r="D228" s="5" t="n"/>
      <c r="E228" s="7" t="n"/>
      <c r="F228" s="6" t="n"/>
      <c r="G228" s="6" t="n"/>
      <c r="H228" s="6" t="n"/>
      <c r="I228" s="6" t="n"/>
      <c r="J228" s="6" t="n"/>
      <c r="K228" s="7" t="n"/>
      <c r="L228" s="5" t="n"/>
      <c r="M228" s="5" t="n"/>
      <c r="N228" s="5" t="n"/>
    </row>
    <row r="229">
      <c r="A229" s="5" t="n"/>
      <c r="B229" s="6" t="n"/>
      <c r="C229" s="5" t="n"/>
      <c r="D229" s="5" t="n"/>
      <c r="E229" s="7" t="n"/>
      <c r="F229" s="6" t="n"/>
      <c r="G229" s="6" t="n"/>
      <c r="H229" s="6" t="n"/>
      <c r="I229" s="6" t="n"/>
      <c r="J229" s="6" t="n"/>
      <c r="K229" s="7" t="n"/>
      <c r="L229" s="5" t="n"/>
      <c r="M229" s="5" t="n"/>
      <c r="N229" s="5" t="n"/>
    </row>
    <row r="230">
      <c r="A230" s="5" t="n"/>
      <c r="B230" s="6" t="n"/>
      <c r="C230" s="5" t="n"/>
      <c r="D230" s="5" t="n"/>
      <c r="E230" s="7" t="n"/>
      <c r="F230" s="6" t="n"/>
      <c r="G230" s="6" t="n"/>
      <c r="H230" s="6" t="n"/>
      <c r="I230" s="6" t="n"/>
      <c r="J230" s="6" t="n"/>
      <c r="K230" s="7" t="n"/>
      <c r="L230" s="5" t="n"/>
      <c r="M230" s="5" t="n"/>
      <c r="N230" s="5" t="n"/>
    </row>
    <row r="231">
      <c r="A231" s="5" t="n"/>
      <c r="B231" s="6" t="n"/>
      <c r="C231" s="5" t="n"/>
      <c r="D231" s="5" t="n"/>
      <c r="E231" s="7" t="n"/>
      <c r="F231" s="6" t="n"/>
      <c r="G231" s="6" t="n"/>
      <c r="H231" s="6" t="n"/>
      <c r="I231" s="6" t="n"/>
      <c r="J231" s="6" t="n"/>
      <c r="K231" s="7" t="n"/>
      <c r="L231" s="5" t="n"/>
      <c r="M231" s="5" t="n"/>
      <c r="N231" s="5" t="n"/>
    </row>
    <row r="232">
      <c r="A232" s="5" t="n"/>
      <c r="B232" s="6" t="n"/>
      <c r="C232" s="5" t="n"/>
      <c r="D232" s="5" t="n"/>
      <c r="E232" s="7" t="n"/>
      <c r="F232" s="6" t="n"/>
      <c r="G232" s="6" t="n"/>
      <c r="H232" s="6" t="n"/>
      <c r="I232" s="6" t="n"/>
      <c r="J232" s="6" t="n"/>
      <c r="K232" s="7" t="n"/>
      <c r="L232" s="5" t="n"/>
      <c r="M232" s="5" t="n"/>
      <c r="N232" s="5" t="n"/>
    </row>
    <row r="233">
      <c r="A233" s="5" t="n"/>
      <c r="B233" s="6" t="n"/>
      <c r="C233" s="5" t="n"/>
      <c r="D233" s="5" t="n"/>
      <c r="E233" s="7" t="n"/>
      <c r="F233" s="6" t="n"/>
      <c r="G233" s="6" t="n"/>
      <c r="H233" s="6" t="n"/>
      <c r="I233" s="6" t="n"/>
      <c r="J233" s="6" t="n"/>
      <c r="K233" s="7" t="n"/>
      <c r="L233" s="5" t="n"/>
      <c r="M233" s="5" t="n"/>
      <c r="N233" s="5" t="n"/>
    </row>
    <row r="234">
      <c r="A234" s="5" t="n"/>
      <c r="B234" s="6" t="n"/>
      <c r="C234" s="5" t="n"/>
      <c r="D234" s="5" t="n"/>
      <c r="E234" s="7" t="n"/>
      <c r="F234" s="6" t="n"/>
      <c r="G234" s="6" t="n"/>
      <c r="H234" s="6" t="n"/>
      <c r="I234" s="6" t="n"/>
      <c r="J234" s="6" t="n"/>
      <c r="K234" s="7" t="n"/>
      <c r="L234" s="5" t="n"/>
      <c r="M234" s="5" t="n"/>
      <c r="N234" s="5" t="n"/>
    </row>
    <row r="235">
      <c r="A235" s="5" t="n"/>
      <c r="B235" s="6" t="n"/>
      <c r="C235" s="5" t="n"/>
      <c r="D235" s="5" t="n"/>
      <c r="E235" s="7" t="n"/>
      <c r="F235" s="6" t="n"/>
      <c r="G235" s="6" t="n"/>
      <c r="H235" s="6" t="n"/>
      <c r="I235" s="6" t="n"/>
      <c r="J235" s="6" t="n"/>
      <c r="K235" s="7" t="n"/>
      <c r="L235" s="5" t="n"/>
      <c r="M235" s="5" t="n"/>
      <c r="N235" s="5" t="n"/>
    </row>
    <row r="236">
      <c r="A236" s="5" t="n"/>
      <c r="B236" s="6" t="n"/>
      <c r="C236" s="5" t="n"/>
      <c r="D236" s="5" t="n"/>
      <c r="E236" s="7" t="n"/>
      <c r="F236" s="6" t="n"/>
      <c r="G236" s="6" t="n"/>
      <c r="H236" s="6" t="n"/>
      <c r="I236" s="6" t="n"/>
      <c r="J236" s="6" t="n"/>
      <c r="K236" s="7" t="n"/>
      <c r="L236" s="5" t="n"/>
      <c r="M236" s="5" t="n"/>
      <c r="N236" s="5" t="n"/>
    </row>
    <row r="237">
      <c r="A237" s="5" t="n"/>
      <c r="B237" s="6" t="n"/>
      <c r="C237" s="5" t="n"/>
      <c r="D237" s="5" t="n"/>
      <c r="E237" s="7" t="n"/>
      <c r="F237" s="6" t="n"/>
      <c r="G237" s="6" t="n"/>
      <c r="H237" s="6" t="n"/>
      <c r="I237" s="6" t="n"/>
      <c r="J237" s="6" t="n"/>
      <c r="K237" s="7" t="n"/>
      <c r="L237" s="5" t="n"/>
      <c r="M237" s="5" t="n"/>
      <c r="N237" s="5" t="n"/>
    </row>
    <row r="238">
      <c r="A238" s="5" t="n"/>
      <c r="B238" s="6" t="n"/>
      <c r="C238" s="5" t="n"/>
      <c r="D238" s="5" t="n"/>
      <c r="E238" s="7" t="n"/>
      <c r="F238" s="6" t="n"/>
      <c r="G238" s="6" t="n"/>
      <c r="H238" s="6" t="n"/>
      <c r="I238" s="6" t="n"/>
      <c r="J238" s="6" t="n"/>
      <c r="K238" s="7" t="n"/>
      <c r="L238" s="5" t="n"/>
      <c r="M238" s="5" t="n"/>
      <c r="N238" s="5" t="n"/>
    </row>
    <row r="239">
      <c r="A239" s="5" t="n"/>
      <c r="B239" s="6" t="n"/>
      <c r="C239" s="5" t="n"/>
      <c r="D239" s="5" t="n"/>
      <c r="E239" s="7" t="n"/>
      <c r="F239" s="6" t="n"/>
      <c r="G239" s="6" t="n"/>
      <c r="H239" s="6" t="n"/>
      <c r="I239" s="6" t="n"/>
      <c r="J239" s="6" t="n"/>
      <c r="K239" s="7" t="n"/>
      <c r="L239" s="5" t="n"/>
      <c r="M239" s="5" t="n"/>
      <c r="N239" s="5" t="n"/>
    </row>
    <row r="240">
      <c r="A240" s="5" t="n"/>
      <c r="B240" s="6" t="n"/>
      <c r="C240" s="5" t="n"/>
      <c r="D240" s="5" t="n"/>
      <c r="E240" s="7" t="n"/>
      <c r="F240" s="6" t="n"/>
      <c r="G240" s="6" t="n"/>
      <c r="H240" s="6" t="n"/>
      <c r="I240" s="6" t="n"/>
      <c r="J240" s="6" t="n"/>
      <c r="K240" s="7" t="n"/>
      <c r="L240" s="5" t="n"/>
      <c r="M240" s="5" t="n"/>
      <c r="N240" s="5" t="n"/>
    </row>
    <row r="241">
      <c r="A241" s="5" t="n"/>
      <c r="B241" s="6" t="n"/>
      <c r="C241" s="5" t="n"/>
      <c r="D241" s="5" t="n"/>
      <c r="E241" s="7" t="n"/>
      <c r="F241" s="6" t="n"/>
      <c r="G241" s="6" t="n"/>
      <c r="H241" s="6" t="n"/>
      <c r="I241" s="6" t="n"/>
      <c r="J241" s="6" t="n"/>
      <c r="K241" s="7" t="n"/>
      <c r="L241" s="5" t="n"/>
      <c r="M241" s="5" t="n"/>
      <c r="N241" s="5" t="n"/>
    </row>
    <row r="242">
      <c r="A242" s="5" t="n"/>
      <c r="B242" s="6" t="n"/>
      <c r="C242" s="5" t="n"/>
      <c r="D242" s="5" t="n"/>
      <c r="E242" s="7" t="n"/>
      <c r="F242" s="6" t="n"/>
      <c r="G242" s="6" t="n"/>
      <c r="H242" s="6" t="n"/>
      <c r="I242" s="6" t="n"/>
      <c r="J242" s="6" t="n"/>
      <c r="K242" s="7" t="n"/>
      <c r="L242" s="5" t="n"/>
      <c r="M242" s="5" t="n"/>
      <c r="N242" s="5" t="n"/>
    </row>
    <row r="243">
      <c r="A243" s="5" t="n"/>
      <c r="B243" s="6" t="n"/>
      <c r="C243" s="5" t="n"/>
      <c r="D243" s="5" t="n"/>
      <c r="E243" s="7" t="n"/>
      <c r="F243" s="6" t="n"/>
      <c r="G243" s="6" t="n"/>
      <c r="H243" s="6" t="n"/>
      <c r="I243" s="6" t="n"/>
      <c r="J243" s="6" t="n"/>
      <c r="K243" s="7" t="n"/>
      <c r="L243" s="5" t="n"/>
      <c r="M243" s="5" t="n"/>
      <c r="N243" s="5" t="n"/>
    </row>
    <row r="244">
      <c r="A244" s="5" t="n"/>
      <c r="B244" s="6" t="n"/>
      <c r="C244" s="5" t="n"/>
      <c r="D244" s="5" t="n"/>
      <c r="E244" s="7" t="n"/>
      <c r="F244" s="6" t="n"/>
      <c r="G244" s="6" t="n"/>
      <c r="H244" s="6" t="n"/>
      <c r="I244" s="6" t="n"/>
      <c r="J244" s="6" t="n"/>
      <c r="K244" s="7" t="n"/>
      <c r="L244" s="5" t="n"/>
      <c r="M244" s="5" t="n"/>
      <c r="N244" s="5" t="n"/>
    </row>
    <row r="245">
      <c r="A245" s="5" t="n"/>
      <c r="B245" s="6" t="n"/>
      <c r="C245" s="5" t="n"/>
      <c r="D245" s="5" t="n"/>
      <c r="E245" s="7" t="n"/>
      <c r="F245" s="6" t="n"/>
      <c r="G245" s="6" t="n"/>
      <c r="H245" s="6" t="n"/>
      <c r="I245" s="6" t="n"/>
      <c r="J245" s="6" t="n"/>
      <c r="K245" s="7" t="n"/>
      <c r="L245" s="5" t="n"/>
      <c r="M245" s="5" t="n"/>
      <c r="N245" s="5" t="n"/>
    </row>
    <row r="246">
      <c r="A246" s="5" t="n"/>
      <c r="B246" s="6" t="n"/>
      <c r="C246" s="5" t="n"/>
      <c r="D246" s="5" t="n"/>
      <c r="E246" s="7" t="n"/>
      <c r="F246" s="6" t="n"/>
      <c r="G246" s="6" t="n"/>
      <c r="H246" s="6" t="n"/>
      <c r="I246" s="6" t="n"/>
      <c r="J246" s="6" t="n"/>
      <c r="K246" s="7" t="n"/>
      <c r="L246" s="5" t="n"/>
      <c r="M246" s="5" t="n"/>
      <c r="N246" s="5" t="n"/>
    </row>
    <row r="247">
      <c r="A247" s="5" t="n"/>
      <c r="B247" s="6" t="n"/>
      <c r="C247" s="5" t="n"/>
      <c r="D247" s="5" t="n"/>
      <c r="E247" s="7" t="n"/>
      <c r="F247" s="6" t="n"/>
      <c r="G247" s="6" t="n"/>
      <c r="H247" s="6" t="n"/>
      <c r="I247" s="6" t="n"/>
      <c r="J247" s="6" t="n"/>
      <c r="K247" s="7" t="n"/>
      <c r="L247" s="5" t="n"/>
      <c r="M247" s="5" t="n"/>
      <c r="N247" s="5" t="n"/>
    </row>
    <row r="248">
      <c r="A248" s="5" t="n"/>
      <c r="B248" s="6" t="n"/>
      <c r="C248" s="5" t="n"/>
      <c r="D248" s="5" t="n"/>
      <c r="E248" s="7" t="n"/>
      <c r="F248" s="6" t="n"/>
      <c r="G248" s="6" t="n"/>
      <c r="H248" s="6" t="n"/>
      <c r="I248" s="6" t="n"/>
      <c r="J248" s="6" t="n"/>
      <c r="K248" s="7" t="n"/>
      <c r="L248" s="5" t="n"/>
      <c r="M248" s="5" t="n"/>
      <c r="N248" s="5" t="n"/>
    </row>
    <row r="249">
      <c r="A249" s="5" t="n"/>
      <c r="B249" s="6" t="n"/>
      <c r="C249" s="5" t="n"/>
      <c r="D249" s="5" t="n"/>
      <c r="E249" s="7" t="n"/>
      <c r="F249" s="6" t="n"/>
      <c r="G249" s="6" t="n"/>
      <c r="H249" s="6" t="n"/>
      <c r="I249" s="6" t="n"/>
      <c r="J249" s="6" t="n"/>
      <c r="K249" s="7" t="n"/>
      <c r="L249" s="5" t="n"/>
      <c r="M249" s="5" t="n"/>
      <c r="N249" s="5" t="n"/>
    </row>
    <row r="250">
      <c r="A250" s="5" t="n"/>
      <c r="B250" s="6" t="n"/>
      <c r="C250" s="5" t="n"/>
      <c r="D250" s="5" t="n"/>
      <c r="E250" s="7" t="n"/>
      <c r="F250" s="6" t="n"/>
      <c r="G250" s="6" t="n"/>
      <c r="H250" s="6" t="n"/>
      <c r="I250" s="6" t="n"/>
      <c r="J250" s="6" t="n"/>
      <c r="K250" s="7" t="n"/>
      <c r="L250" s="5" t="n"/>
      <c r="M250" s="5" t="n"/>
      <c r="N250" s="5" t="n"/>
    </row>
    <row r="251">
      <c r="A251" s="5" t="n"/>
      <c r="B251" s="6" t="n"/>
      <c r="C251" s="5" t="n"/>
      <c r="D251" s="5" t="n"/>
      <c r="E251" s="7" t="n"/>
      <c r="F251" s="6" t="n"/>
      <c r="G251" s="6" t="n"/>
      <c r="H251" s="6" t="n"/>
      <c r="I251" s="6" t="n"/>
      <c r="J251" s="6" t="n"/>
      <c r="K251" s="7" t="n"/>
      <c r="L251" s="5" t="n"/>
      <c r="M251" s="5" t="n"/>
      <c r="N251" s="5" t="n"/>
    </row>
    <row r="252">
      <c r="A252" s="5" t="n"/>
      <c r="B252" s="6" t="n"/>
      <c r="C252" s="5" t="n"/>
      <c r="D252" s="5" t="n"/>
      <c r="E252" s="7" t="n"/>
      <c r="F252" s="6" t="n"/>
      <c r="G252" s="6" t="n"/>
      <c r="H252" s="6" t="n"/>
      <c r="I252" s="6" t="n"/>
      <c r="J252" s="6" t="n"/>
      <c r="K252" s="7" t="n"/>
      <c r="L252" s="5" t="n"/>
      <c r="M252" s="5" t="n"/>
      <c r="N252" s="5" t="n"/>
    </row>
    <row r="253">
      <c r="A253" s="5" t="n"/>
      <c r="B253" s="6" t="n"/>
      <c r="C253" s="5" t="n"/>
      <c r="D253" s="5" t="n"/>
      <c r="E253" s="7" t="n"/>
      <c r="F253" s="6" t="n"/>
      <c r="G253" s="6" t="n"/>
      <c r="H253" s="6" t="n"/>
      <c r="I253" s="6" t="n"/>
      <c r="J253" s="6" t="n"/>
      <c r="K253" s="7" t="n"/>
      <c r="L253" s="5" t="n"/>
      <c r="M253" s="5" t="n"/>
      <c r="N253" s="5" t="n"/>
    </row>
    <row r="254">
      <c r="A254" s="5" t="n"/>
      <c r="B254" s="6" t="n"/>
      <c r="C254" s="5" t="n"/>
      <c r="D254" s="5" t="n"/>
      <c r="E254" s="7" t="n"/>
      <c r="F254" s="6" t="n"/>
      <c r="G254" s="6" t="n"/>
      <c r="H254" s="6" t="n"/>
      <c r="I254" s="6" t="n"/>
      <c r="J254" s="6" t="n"/>
      <c r="K254" s="7" t="n"/>
      <c r="L254" s="5" t="n"/>
      <c r="M254" s="5" t="n"/>
      <c r="N254" s="5" t="n"/>
    </row>
    <row r="255">
      <c r="A255" s="5" t="n"/>
      <c r="B255" s="6" t="n"/>
      <c r="C255" s="5" t="n"/>
      <c r="D255" s="5" t="n"/>
      <c r="E255" s="7" t="n"/>
      <c r="F255" s="6" t="n"/>
      <c r="G255" s="6" t="n"/>
      <c r="H255" s="6" t="n"/>
      <c r="I255" s="6" t="n"/>
      <c r="J255" s="6" t="n"/>
      <c r="K255" s="7" t="n"/>
      <c r="L255" s="5" t="n"/>
      <c r="M255" s="5" t="n"/>
      <c r="N255" s="5" t="n"/>
    </row>
    <row r="256">
      <c r="A256" s="5" t="n"/>
      <c r="B256" s="6" t="n"/>
      <c r="C256" s="5" t="n"/>
      <c r="D256" s="5" t="n"/>
      <c r="E256" s="7" t="n"/>
      <c r="F256" s="6" t="n"/>
      <c r="G256" s="6" t="n"/>
      <c r="H256" s="6" t="n"/>
      <c r="I256" s="6" t="n"/>
      <c r="J256" s="6" t="n"/>
      <c r="K256" s="7" t="n"/>
      <c r="L256" s="5" t="n"/>
      <c r="M256" s="5" t="n"/>
      <c r="N256" s="5" t="n"/>
    </row>
    <row r="257">
      <c r="A257" s="5" t="n"/>
      <c r="B257" s="6" t="n"/>
      <c r="C257" s="5" t="n"/>
      <c r="D257" s="5" t="n"/>
      <c r="E257" s="7" t="n"/>
      <c r="F257" s="6" t="n"/>
      <c r="G257" s="6" t="n"/>
      <c r="H257" s="6" t="n"/>
      <c r="I257" s="6" t="n"/>
      <c r="J257" s="6" t="n"/>
      <c r="K257" s="7" t="n"/>
      <c r="L257" s="5" t="n"/>
      <c r="M257" s="5" t="n"/>
      <c r="N257" s="5" t="n"/>
    </row>
    <row r="258">
      <c r="A258" s="5" t="n"/>
      <c r="B258" s="6" t="n"/>
      <c r="C258" s="5" t="n"/>
      <c r="D258" s="5" t="n"/>
      <c r="E258" s="7" t="n"/>
      <c r="F258" s="6" t="n"/>
      <c r="G258" s="6" t="n"/>
      <c r="H258" s="6" t="n"/>
      <c r="I258" s="6" t="n"/>
      <c r="J258" s="6" t="n"/>
      <c r="K258" s="7" t="n"/>
      <c r="L258" s="5" t="n"/>
      <c r="M258" s="5" t="n"/>
      <c r="N258" s="5" t="n"/>
    </row>
    <row r="259">
      <c r="A259" s="5" t="n"/>
      <c r="B259" s="6" t="n"/>
      <c r="C259" s="5" t="n"/>
      <c r="D259" s="5" t="n"/>
      <c r="E259" s="7" t="n"/>
      <c r="F259" s="6" t="n"/>
      <c r="G259" s="6" t="n"/>
      <c r="H259" s="6" t="n"/>
      <c r="I259" s="6" t="n"/>
      <c r="J259" s="6" t="n"/>
      <c r="K259" s="7" t="n"/>
      <c r="L259" s="5" t="n"/>
      <c r="M259" s="5" t="n"/>
      <c r="N259" s="5" t="n"/>
    </row>
    <row r="260">
      <c r="A260" s="5" t="n"/>
      <c r="B260" s="6" t="n"/>
      <c r="C260" s="5" t="n"/>
      <c r="D260" s="5" t="n"/>
      <c r="E260" s="7" t="n"/>
      <c r="F260" s="6" t="n"/>
      <c r="G260" s="6" t="n"/>
      <c r="H260" s="6" t="n"/>
      <c r="I260" s="6" t="n"/>
      <c r="J260" s="6" t="n"/>
      <c r="K260" s="7" t="n"/>
      <c r="L260" s="5" t="n"/>
      <c r="M260" s="5" t="n"/>
      <c r="N260" s="5" t="n"/>
    </row>
    <row r="261">
      <c r="A261" s="5" t="n"/>
      <c r="B261" s="6" t="n"/>
      <c r="C261" s="5" t="n"/>
      <c r="D261" s="5" t="n"/>
      <c r="E261" s="7" t="n"/>
      <c r="F261" s="6" t="n"/>
      <c r="G261" s="6" t="n"/>
      <c r="H261" s="6" t="n"/>
      <c r="I261" s="6" t="n"/>
      <c r="J261" s="6" t="n"/>
      <c r="K261" s="7" t="n"/>
      <c r="L261" s="5" t="n"/>
      <c r="M261" s="5" t="n"/>
      <c r="N261" s="5" t="n"/>
    </row>
    <row r="262">
      <c r="A262" s="5" t="n"/>
      <c r="B262" s="6" t="n"/>
      <c r="C262" s="5" t="n"/>
      <c r="D262" s="5" t="n"/>
      <c r="E262" s="7" t="n"/>
      <c r="F262" s="6" t="n"/>
      <c r="G262" s="6" t="n"/>
      <c r="H262" s="6" t="n"/>
      <c r="I262" s="6" t="n"/>
      <c r="J262" s="6" t="n"/>
      <c r="K262" s="7" t="n"/>
      <c r="L262" s="5" t="n"/>
      <c r="M262" s="5" t="n"/>
      <c r="N262" s="5" t="n"/>
    </row>
    <row r="263">
      <c r="A263" s="5" t="n"/>
      <c r="B263" s="6" t="n"/>
      <c r="C263" s="5" t="n"/>
      <c r="D263" s="5" t="n"/>
      <c r="E263" s="7" t="n"/>
      <c r="F263" s="6" t="n"/>
      <c r="G263" s="6" t="n"/>
      <c r="H263" s="6" t="n"/>
      <c r="I263" s="6" t="n"/>
      <c r="J263" s="6" t="n"/>
      <c r="K263" s="7" t="n"/>
      <c r="L263" s="5" t="n"/>
      <c r="M263" s="5" t="n"/>
      <c r="N263" s="5" t="n"/>
    </row>
    <row r="264">
      <c r="A264" s="5" t="n"/>
      <c r="B264" s="6" t="n"/>
      <c r="C264" s="5" t="n"/>
      <c r="D264" s="5" t="n"/>
      <c r="E264" s="7" t="n"/>
      <c r="F264" s="6" t="n"/>
      <c r="G264" s="6" t="n"/>
      <c r="H264" s="6" t="n"/>
      <c r="I264" s="6" t="n"/>
      <c r="J264" s="6" t="n"/>
      <c r="K264" s="7" t="n"/>
      <c r="L264" s="5" t="n"/>
      <c r="M264" s="5" t="n"/>
      <c r="N264" s="5" t="n"/>
    </row>
    <row r="265">
      <c r="A265" s="5" t="n"/>
      <c r="B265" s="6" t="n"/>
      <c r="C265" s="5" t="n"/>
      <c r="D265" s="5" t="n"/>
      <c r="E265" s="7" t="n"/>
      <c r="F265" s="6" t="n"/>
      <c r="G265" s="6" t="n"/>
      <c r="H265" s="6" t="n"/>
      <c r="I265" s="6" t="n"/>
      <c r="J265" s="6" t="n"/>
      <c r="K265" s="7" t="n"/>
      <c r="L265" s="5" t="n"/>
      <c r="M265" s="5" t="n"/>
      <c r="N265" s="5" t="n"/>
    </row>
    <row r="266">
      <c r="A266" s="5" t="n"/>
      <c r="B266" s="6" t="n"/>
      <c r="C266" s="5" t="n"/>
      <c r="D266" s="5" t="n"/>
      <c r="E266" s="7" t="n"/>
      <c r="F266" s="6" t="n"/>
      <c r="G266" s="6" t="n"/>
      <c r="H266" s="6" t="n"/>
      <c r="I266" s="6" t="n"/>
      <c r="J266" s="6" t="n"/>
      <c r="K266" s="7" t="n"/>
      <c r="L266" s="5" t="n"/>
      <c r="M266" s="5" t="n"/>
      <c r="N266" s="5" t="n"/>
    </row>
    <row r="267">
      <c r="A267" s="5" t="n"/>
      <c r="B267" s="6" t="n"/>
      <c r="C267" s="5" t="n"/>
      <c r="D267" s="5" t="n"/>
      <c r="E267" s="7" t="n"/>
      <c r="F267" s="6" t="n"/>
      <c r="G267" s="6" t="n"/>
      <c r="H267" s="6" t="n"/>
      <c r="I267" s="6" t="n"/>
      <c r="J267" s="6" t="n"/>
      <c r="K267" s="7" t="n"/>
      <c r="L267" s="5" t="n"/>
      <c r="M267" s="5" t="n"/>
      <c r="N267" s="5" t="n"/>
    </row>
    <row r="268">
      <c r="A268" s="5" t="n"/>
      <c r="B268" s="6" t="n"/>
      <c r="C268" s="5" t="n"/>
      <c r="D268" s="5" t="n"/>
      <c r="E268" s="7" t="n"/>
      <c r="F268" s="6" t="n"/>
      <c r="G268" s="6" t="n"/>
      <c r="H268" s="6" t="n"/>
      <c r="I268" s="6" t="n"/>
      <c r="J268" s="6" t="n"/>
      <c r="K268" s="7" t="n"/>
      <c r="L268" s="5" t="n"/>
      <c r="M268" s="5" t="n"/>
      <c r="N268" s="5" t="n"/>
    </row>
    <row r="269">
      <c r="A269" s="5" t="n"/>
      <c r="B269" s="6" t="n"/>
      <c r="C269" s="5" t="n"/>
      <c r="D269" s="5" t="n"/>
      <c r="E269" s="7" t="n"/>
      <c r="F269" s="6" t="n"/>
      <c r="G269" s="6" t="n"/>
      <c r="H269" s="6" t="n"/>
      <c r="I269" s="6" t="n"/>
      <c r="J269" s="6" t="n"/>
      <c r="K269" s="7" t="n"/>
      <c r="L269" s="5" t="n"/>
      <c r="M269" s="5" t="n"/>
      <c r="N269" s="5" t="n"/>
    </row>
    <row r="270">
      <c r="A270" s="5" t="n"/>
      <c r="B270" s="6" t="n"/>
      <c r="C270" s="5" t="n"/>
      <c r="D270" s="5" t="n"/>
      <c r="E270" s="7" t="n"/>
      <c r="F270" s="6" t="n"/>
      <c r="G270" s="6" t="n"/>
      <c r="H270" s="6" t="n"/>
      <c r="I270" s="6" t="n"/>
      <c r="J270" s="6" t="n"/>
      <c r="K270" s="7" t="n"/>
      <c r="L270" s="5" t="n"/>
      <c r="M270" s="5" t="n"/>
      <c r="N270" s="5" t="n"/>
    </row>
    <row r="271">
      <c r="A271" s="5" t="n"/>
      <c r="B271" s="6" t="n"/>
      <c r="C271" s="5" t="n"/>
      <c r="D271" s="5" t="n"/>
      <c r="E271" s="7" t="n"/>
      <c r="F271" s="6" t="n"/>
      <c r="G271" s="6" t="n"/>
      <c r="H271" s="6" t="n"/>
      <c r="I271" s="6" t="n"/>
      <c r="J271" s="6" t="n"/>
      <c r="K271" s="7" t="n"/>
      <c r="L271" s="5" t="n"/>
      <c r="M271" s="5" t="n"/>
      <c r="N271" s="5" t="n"/>
    </row>
    <row r="272">
      <c r="A272" s="5" t="n"/>
      <c r="B272" s="6" t="n"/>
      <c r="C272" s="5" t="n"/>
      <c r="D272" s="5" t="n"/>
      <c r="E272" s="7" t="n"/>
      <c r="F272" s="6" t="n"/>
      <c r="G272" s="6" t="n"/>
      <c r="H272" s="6" t="n"/>
      <c r="I272" s="6" t="n"/>
      <c r="J272" s="6" t="n"/>
      <c r="K272" s="7" t="n"/>
      <c r="L272" s="5" t="n"/>
      <c r="M272" s="5" t="n"/>
      <c r="N272" s="5" t="n"/>
    </row>
    <row r="273">
      <c r="A273" s="5" t="n"/>
      <c r="B273" s="6" t="n"/>
      <c r="C273" s="5" t="n"/>
      <c r="D273" s="5" t="n"/>
      <c r="E273" s="7" t="n"/>
      <c r="F273" s="6" t="n"/>
      <c r="G273" s="6" t="n"/>
      <c r="H273" s="6" t="n"/>
      <c r="I273" s="6" t="n"/>
      <c r="J273" s="6" t="n"/>
      <c r="K273" s="7" t="n"/>
      <c r="L273" s="5" t="n"/>
      <c r="M273" s="5" t="n"/>
      <c r="N273" s="5" t="n"/>
    </row>
    <row r="274">
      <c r="A274" s="5" t="n"/>
      <c r="B274" s="6" t="n"/>
      <c r="C274" s="5" t="n"/>
      <c r="D274" s="5" t="n"/>
      <c r="E274" s="7" t="n"/>
      <c r="F274" s="6" t="n"/>
      <c r="G274" s="6" t="n"/>
      <c r="H274" s="6" t="n"/>
      <c r="I274" s="6" t="n"/>
      <c r="J274" s="6" t="n"/>
      <c r="K274" s="7" t="n"/>
      <c r="L274" s="5" t="n"/>
      <c r="M274" s="5" t="n"/>
      <c r="N274" s="5" t="n"/>
    </row>
    <row r="275">
      <c r="A275" s="5" t="n"/>
      <c r="B275" s="6" t="n"/>
      <c r="C275" s="5" t="n"/>
      <c r="D275" s="5" t="n"/>
      <c r="E275" s="7" t="n"/>
      <c r="F275" s="6" t="n"/>
      <c r="G275" s="6" t="n"/>
      <c r="H275" s="6" t="n"/>
      <c r="I275" s="6" t="n"/>
      <c r="J275" s="6" t="n"/>
      <c r="K275" s="7" t="n"/>
      <c r="L275" s="5" t="n"/>
      <c r="M275" s="5" t="n"/>
      <c r="N275" s="5" t="n"/>
    </row>
    <row r="276">
      <c r="A276" s="5" t="n"/>
      <c r="B276" s="6" t="n"/>
      <c r="C276" s="5" t="n"/>
      <c r="D276" s="5" t="n"/>
      <c r="E276" s="7" t="n"/>
      <c r="F276" s="6" t="n"/>
      <c r="G276" s="6" t="n"/>
      <c r="H276" s="6" t="n"/>
      <c r="I276" s="6" t="n"/>
      <c r="J276" s="6" t="n"/>
      <c r="K276" s="7" t="n"/>
      <c r="L276" s="5" t="n"/>
      <c r="M276" s="5" t="n"/>
      <c r="N276" s="5" t="n"/>
    </row>
    <row r="277">
      <c r="A277" s="5" t="n"/>
      <c r="B277" s="6" t="n"/>
      <c r="C277" s="5" t="n"/>
      <c r="D277" s="5" t="n"/>
      <c r="E277" s="7" t="n"/>
      <c r="F277" s="6" t="n"/>
      <c r="G277" s="6" t="n"/>
      <c r="H277" s="6" t="n"/>
      <c r="I277" s="6" t="n"/>
      <c r="J277" s="6" t="n"/>
      <c r="K277" s="7" t="n"/>
      <c r="L277" s="5" t="n"/>
      <c r="M277" s="5" t="n"/>
      <c r="N277" s="5" t="n"/>
    </row>
    <row r="278">
      <c r="A278" s="5" t="n"/>
      <c r="B278" s="6" t="n"/>
      <c r="C278" s="5" t="n"/>
      <c r="D278" s="5" t="n"/>
      <c r="E278" s="7" t="n"/>
      <c r="F278" s="6" t="n"/>
      <c r="G278" s="6" t="n"/>
      <c r="H278" s="6" t="n"/>
      <c r="I278" s="6" t="n"/>
      <c r="J278" s="6" t="n"/>
      <c r="K278" s="7" t="n"/>
      <c r="L278" s="5" t="n"/>
      <c r="M278" s="5" t="n"/>
      <c r="N278" s="5" t="n"/>
    </row>
    <row r="279">
      <c r="A279" s="5" t="n"/>
      <c r="B279" s="6" t="n"/>
      <c r="C279" s="5" t="n"/>
      <c r="D279" s="5" t="n"/>
      <c r="E279" s="7" t="n"/>
      <c r="F279" s="6" t="n"/>
      <c r="G279" s="6" t="n"/>
      <c r="H279" s="6" t="n"/>
      <c r="I279" s="6" t="n"/>
      <c r="J279" s="6" t="n"/>
      <c r="K279" s="7" t="n"/>
      <c r="L279" s="5" t="n"/>
      <c r="M279" s="5" t="n"/>
      <c r="N279" s="5" t="n"/>
    </row>
    <row r="280">
      <c r="A280" s="5" t="n"/>
      <c r="B280" s="6" t="n"/>
      <c r="C280" s="5" t="n"/>
      <c r="D280" s="5" t="n"/>
      <c r="E280" s="7" t="n"/>
      <c r="F280" s="6" t="n"/>
      <c r="G280" s="6" t="n"/>
      <c r="H280" s="6" t="n"/>
      <c r="I280" s="6" t="n"/>
      <c r="J280" s="6" t="n"/>
      <c r="K280" s="7" t="n"/>
      <c r="L280" s="5" t="n"/>
      <c r="M280" s="5" t="n"/>
      <c r="N280" s="5" t="n"/>
    </row>
    <row r="281">
      <c r="A281" s="5" t="n"/>
      <c r="B281" s="6" t="n"/>
      <c r="C281" s="5" t="n"/>
      <c r="D281" s="5" t="n"/>
      <c r="E281" s="7" t="n"/>
      <c r="F281" s="6" t="n"/>
      <c r="G281" s="6" t="n"/>
      <c r="H281" s="6" t="n"/>
      <c r="I281" s="6" t="n"/>
      <c r="J281" s="6" t="n"/>
      <c r="K281" s="7" t="n"/>
      <c r="L281" s="5" t="n"/>
      <c r="M281" s="5" t="n"/>
      <c r="N281" s="5" t="n"/>
    </row>
    <row r="282">
      <c r="A282" s="5" t="n"/>
      <c r="B282" s="6" t="n"/>
      <c r="C282" s="5" t="n"/>
      <c r="D282" s="5" t="n"/>
      <c r="E282" s="7" t="n"/>
      <c r="F282" s="6" t="n"/>
      <c r="G282" s="6" t="n"/>
      <c r="H282" s="6" t="n"/>
      <c r="I282" s="6" t="n"/>
      <c r="J282" s="6" t="n"/>
      <c r="K282" s="7" t="n"/>
      <c r="L282" s="5" t="n"/>
      <c r="M282" s="5" t="n"/>
      <c r="N282" s="5" t="n"/>
    </row>
    <row r="283">
      <c r="A283" s="5" t="n"/>
      <c r="B283" s="6" t="n"/>
      <c r="C283" s="5" t="n"/>
      <c r="D283" s="5" t="n"/>
      <c r="E283" s="7" t="n"/>
      <c r="F283" s="6" t="n"/>
      <c r="G283" s="6" t="n"/>
      <c r="H283" s="6" t="n"/>
      <c r="I283" s="6" t="n"/>
      <c r="J283" s="6" t="n"/>
      <c r="K283" s="7" t="n"/>
      <c r="L283" s="5" t="n"/>
      <c r="M283" s="5" t="n"/>
      <c r="N283" s="5" t="n"/>
    </row>
    <row r="284">
      <c r="A284" s="5" t="n"/>
      <c r="B284" s="6" t="n"/>
      <c r="C284" s="5" t="n"/>
      <c r="D284" s="5" t="n"/>
      <c r="E284" s="7" t="n"/>
      <c r="F284" s="6" t="n"/>
      <c r="G284" s="6" t="n"/>
      <c r="H284" s="6" t="n"/>
      <c r="I284" s="6" t="n"/>
      <c r="J284" s="6" t="n"/>
      <c r="K284" s="7" t="n"/>
      <c r="L284" s="5" t="n"/>
      <c r="M284" s="5" t="n"/>
      <c r="N284" s="5" t="n"/>
    </row>
    <row r="285">
      <c r="A285" s="5" t="n"/>
      <c r="B285" s="6" t="n"/>
      <c r="C285" s="5" t="n"/>
      <c r="D285" s="5" t="n"/>
      <c r="E285" s="7" t="n"/>
      <c r="F285" s="6" t="n"/>
      <c r="G285" s="6" t="n"/>
      <c r="H285" s="6" t="n"/>
      <c r="I285" s="6" t="n"/>
      <c r="J285" s="6" t="n"/>
      <c r="K285" s="7" t="n"/>
      <c r="L285" s="5" t="n"/>
      <c r="M285" s="5" t="n"/>
      <c r="N285" s="5" t="n"/>
    </row>
    <row r="286">
      <c r="A286" s="5" t="n"/>
      <c r="B286" s="6" t="n"/>
      <c r="C286" s="5" t="n"/>
      <c r="D286" s="5" t="n"/>
      <c r="E286" s="7" t="n"/>
      <c r="F286" s="6" t="n"/>
      <c r="G286" s="6" t="n"/>
      <c r="H286" s="6" t="n"/>
      <c r="I286" s="6" t="n"/>
      <c r="J286" s="6" t="n"/>
      <c r="K286" s="7" t="n"/>
      <c r="L286" s="5" t="n"/>
      <c r="M286" s="5" t="n"/>
      <c r="N286" s="5" t="n"/>
    </row>
    <row r="287">
      <c r="A287" s="5" t="n"/>
      <c r="B287" s="6" t="n"/>
      <c r="C287" s="5" t="n"/>
      <c r="D287" s="5" t="n"/>
      <c r="E287" s="7" t="n"/>
      <c r="F287" s="6" t="n"/>
      <c r="G287" s="6" t="n"/>
      <c r="H287" s="6" t="n"/>
      <c r="I287" s="6" t="n"/>
      <c r="J287" s="6" t="n"/>
      <c r="K287" s="7" t="n"/>
      <c r="L287" s="5" t="n"/>
      <c r="M287" s="5" t="n"/>
      <c r="N287" s="5" t="n"/>
    </row>
    <row r="288">
      <c r="A288" s="5" t="n"/>
      <c r="B288" s="6" t="n"/>
      <c r="C288" s="5" t="n"/>
      <c r="D288" s="5" t="n"/>
      <c r="E288" s="7" t="n"/>
      <c r="F288" s="6" t="n"/>
      <c r="G288" s="6" t="n"/>
      <c r="H288" s="6" t="n"/>
      <c r="I288" s="6" t="n"/>
      <c r="J288" s="6" t="n"/>
      <c r="K288" s="7" t="n"/>
      <c r="L288" s="5" t="n"/>
      <c r="M288" s="5" t="n"/>
      <c r="N288" s="5" t="n"/>
    </row>
    <row r="289">
      <c r="A289" s="5" t="n"/>
      <c r="B289" s="6" t="n"/>
      <c r="C289" s="5" t="n"/>
      <c r="D289" s="5" t="n"/>
      <c r="E289" s="7" t="n"/>
      <c r="F289" s="6" t="n"/>
      <c r="G289" s="6" t="n"/>
      <c r="H289" s="6" t="n"/>
      <c r="I289" s="6" t="n"/>
      <c r="J289" s="6" t="n"/>
      <c r="K289" s="7" t="n"/>
      <c r="L289" s="5" t="n"/>
      <c r="M289" s="5" t="n"/>
      <c r="N289" s="5" t="n"/>
    </row>
    <row r="290">
      <c r="A290" s="5" t="n"/>
      <c r="B290" s="6" t="n"/>
      <c r="C290" s="5" t="n"/>
      <c r="D290" s="5" t="n"/>
      <c r="E290" s="7" t="n"/>
      <c r="F290" s="6" t="n"/>
      <c r="G290" s="6" t="n"/>
      <c r="H290" s="6" t="n"/>
      <c r="I290" s="6" t="n"/>
      <c r="J290" s="6" t="n"/>
      <c r="K290" s="7" t="n"/>
      <c r="L290" s="5" t="n"/>
      <c r="M290" s="5" t="n"/>
      <c r="N290" s="5" t="n"/>
    </row>
    <row r="291">
      <c r="A291" s="5" t="n"/>
      <c r="B291" s="6" t="n"/>
      <c r="C291" s="5" t="n"/>
      <c r="D291" s="5" t="n"/>
      <c r="E291" s="7" t="n"/>
      <c r="F291" s="6" t="n"/>
      <c r="G291" s="6" t="n"/>
      <c r="H291" s="6" t="n"/>
      <c r="I291" s="6" t="n"/>
      <c r="J291" s="6" t="n"/>
      <c r="K291" s="7" t="n"/>
      <c r="L291" s="5" t="n"/>
      <c r="M291" s="5" t="n"/>
      <c r="N291" s="5" t="n"/>
    </row>
    <row r="292">
      <c r="A292" s="5" t="n"/>
      <c r="B292" s="6" t="n"/>
      <c r="C292" s="5" t="n"/>
      <c r="D292" s="5" t="n"/>
      <c r="E292" s="7" t="n"/>
      <c r="F292" s="6" t="n"/>
      <c r="G292" s="6" t="n"/>
      <c r="H292" s="6" t="n"/>
      <c r="I292" s="6" t="n"/>
      <c r="J292" s="6" t="n"/>
      <c r="K292" s="7" t="n"/>
      <c r="L292" s="5" t="n"/>
      <c r="M292" s="5" t="n"/>
      <c r="N292" s="5" t="n"/>
    </row>
    <row r="293">
      <c r="A293" s="5" t="n"/>
      <c r="B293" s="6" t="n"/>
      <c r="C293" s="5" t="n"/>
      <c r="D293" s="5" t="n"/>
      <c r="E293" s="7" t="n"/>
      <c r="F293" s="6" t="n"/>
      <c r="G293" s="6" t="n"/>
      <c r="H293" s="6" t="n"/>
      <c r="I293" s="6" t="n"/>
      <c r="J293" s="6" t="n"/>
      <c r="K293" s="7" t="n"/>
      <c r="L293" s="5" t="n"/>
      <c r="M293" s="5" t="n"/>
      <c r="N293" s="5" t="n"/>
    </row>
    <row r="294">
      <c r="A294" s="5" t="n"/>
      <c r="B294" s="6" t="n"/>
      <c r="C294" s="5" t="n"/>
      <c r="D294" s="5" t="n"/>
      <c r="E294" s="7" t="n"/>
      <c r="F294" s="6" t="n"/>
      <c r="G294" s="6" t="n"/>
      <c r="H294" s="6" t="n"/>
      <c r="I294" s="6" t="n"/>
      <c r="J294" s="6" t="n"/>
      <c r="K294" s="7" t="n"/>
      <c r="L294" s="5" t="n"/>
      <c r="M294" s="5" t="n"/>
      <c r="N294" s="5" t="n"/>
    </row>
    <row r="295">
      <c r="A295" s="5" t="n"/>
      <c r="B295" s="6" t="n"/>
      <c r="C295" s="5" t="n"/>
      <c r="D295" s="5" t="n"/>
      <c r="E295" s="7" t="n"/>
      <c r="F295" s="6" t="n"/>
      <c r="G295" s="6" t="n"/>
      <c r="H295" s="6" t="n"/>
      <c r="I295" s="6" t="n"/>
      <c r="J295" s="6" t="n"/>
      <c r="K295" s="7" t="n"/>
      <c r="L295" s="5" t="n"/>
      <c r="M295" s="5" t="n"/>
      <c r="N295" s="5" t="n"/>
    </row>
    <row r="296">
      <c r="A296" s="5" t="n"/>
      <c r="B296" s="6" t="n"/>
      <c r="C296" s="5" t="n"/>
      <c r="D296" s="5" t="n"/>
      <c r="E296" s="7" t="n"/>
      <c r="F296" s="6" t="n"/>
      <c r="G296" s="6" t="n"/>
      <c r="H296" s="6" t="n"/>
      <c r="I296" s="6" t="n"/>
      <c r="J296" s="6" t="n"/>
      <c r="K296" s="7" t="n"/>
      <c r="L296" s="5" t="n"/>
      <c r="M296" s="5" t="n"/>
      <c r="N296" s="5" t="n"/>
    </row>
    <row r="297">
      <c r="A297" s="5" t="n"/>
      <c r="B297" s="6" t="n"/>
      <c r="C297" s="5" t="n"/>
      <c r="D297" s="5" t="n"/>
      <c r="E297" s="7" t="n"/>
      <c r="F297" s="6" t="n"/>
      <c r="G297" s="6" t="n"/>
      <c r="H297" s="6" t="n"/>
      <c r="I297" s="6" t="n"/>
      <c r="J297" s="6" t="n"/>
      <c r="K297" s="7" t="n"/>
      <c r="L297" s="5" t="n"/>
      <c r="M297" s="5" t="n"/>
      <c r="N297" s="5" t="n"/>
    </row>
    <row r="298">
      <c r="A298" s="5" t="n"/>
      <c r="B298" s="6" t="n"/>
      <c r="C298" s="5" t="n"/>
      <c r="D298" s="5" t="n"/>
      <c r="E298" s="7" t="n"/>
      <c r="F298" s="6" t="n"/>
      <c r="G298" s="6" t="n"/>
      <c r="H298" s="6" t="n"/>
      <c r="I298" s="6" t="n"/>
      <c r="J298" s="6" t="n"/>
      <c r="K298" s="7" t="n"/>
      <c r="L298" s="5" t="n"/>
      <c r="M298" s="5" t="n"/>
      <c r="N298" s="5" t="n"/>
    </row>
    <row r="299">
      <c r="A299" s="5" t="n"/>
      <c r="B299" s="6" t="n"/>
      <c r="C299" s="5" t="n"/>
      <c r="D299" s="5" t="n"/>
      <c r="E299" s="7" t="n"/>
      <c r="F299" s="6" t="n"/>
      <c r="G299" s="6" t="n"/>
      <c r="H299" s="6" t="n"/>
      <c r="I299" s="6" t="n"/>
      <c r="J299" s="6" t="n"/>
      <c r="K299" s="7" t="n"/>
      <c r="L299" s="5" t="n"/>
      <c r="M299" s="5" t="n"/>
      <c r="N299" s="5" t="n"/>
    </row>
    <row r="300">
      <c r="A300" s="5" t="n"/>
      <c r="B300" s="6" t="n"/>
      <c r="C300" s="5" t="n"/>
      <c r="D300" s="5" t="n"/>
      <c r="E300" s="7" t="n"/>
      <c r="F300" s="6" t="n"/>
      <c r="G300" s="6" t="n"/>
      <c r="H300" s="6" t="n"/>
      <c r="I300" s="6" t="n"/>
      <c r="J300" s="6" t="n"/>
      <c r="K300" s="7" t="n"/>
      <c r="L300" s="5" t="n"/>
      <c r="M300" s="5" t="n"/>
      <c r="N300" s="5" t="n"/>
    </row>
    <row r="301">
      <c r="A301" s="5" t="n"/>
      <c r="B301" s="6" t="n"/>
      <c r="C301" s="5" t="n"/>
      <c r="D301" s="5" t="n"/>
      <c r="E301" s="7" t="n"/>
      <c r="F301" s="6" t="n"/>
      <c r="G301" s="6" t="n"/>
      <c r="H301" s="6" t="n"/>
      <c r="I301" s="6" t="n"/>
      <c r="J301" s="6" t="n"/>
      <c r="K301" s="7" t="n"/>
      <c r="L301" s="5" t="n"/>
      <c r="M301" s="5" t="n"/>
      <c r="N301" s="5" t="n"/>
    </row>
    <row r="302">
      <c r="A302" s="5" t="n"/>
      <c r="B302" s="6" t="n"/>
      <c r="C302" s="5" t="n"/>
      <c r="D302" s="5" t="n"/>
      <c r="E302" s="7" t="n"/>
      <c r="F302" s="6" t="n"/>
      <c r="G302" s="6" t="n"/>
      <c r="H302" s="6" t="n"/>
      <c r="I302" s="6" t="n"/>
      <c r="J302" s="6" t="n"/>
      <c r="K302" s="7" t="n"/>
      <c r="L302" s="5" t="n"/>
      <c r="M302" s="5" t="n"/>
      <c r="N302" s="5" t="n"/>
    </row>
    <row r="303">
      <c r="A303" s="5" t="n"/>
      <c r="B303" s="6" t="n"/>
      <c r="C303" s="5" t="n"/>
      <c r="D303" s="5" t="n"/>
      <c r="E303" s="7" t="n"/>
      <c r="F303" s="6" t="n"/>
      <c r="G303" s="6" t="n"/>
      <c r="H303" s="6" t="n"/>
      <c r="I303" s="6" t="n"/>
      <c r="J303" s="6" t="n"/>
      <c r="K303" s="7" t="n"/>
      <c r="L303" s="5" t="n"/>
      <c r="M303" s="5" t="n"/>
      <c r="N303" s="5" t="n"/>
    </row>
    <row r="304">
      <c r="A304" s="5" t="n"/>
      <c r="B304" s="6" t="n"/>
      <c r="C304" s="5" t="n"/>
      <c r="D304" s="5" t="n"/>
      <c r="E304" s="7" t="n"/>
      <c r="F304" s="6" t="n"/>
      <c r="G304" s="6" t="n"/>
      <c r="H304" s="6" t="n"/>
      <c r="I304" s="6" t="n"/>
      <c r="J304" s="6" t="n"/>
      <c r="K304" s="7" t="n"/>
      <c r="L304" s="5" t="n"/>
      <c r="M304" s="5" t="n"/>
      <c r="N304" s="5" t="n"/>
    </row>
    <row r="305">
      <c r="A305" s="5" t="n"/>
      <c r="B305" s="6" t="n"/>
      <c r="C305" s="5" t="n"/>
      <c r="D305" s="5" t="n"/>
      <c r="E305" s="7" t="n"/>
      <c r="F305" s="6" t="n"/>
      <c r="G305" s="6" t="n"/>
      <c r="H305" s="6" t="n"/>
      <c r="I305" s="6" t="n"/>
      <c r="J305" s="6" t="n"/>
      <c r="K305" s="7" t="n"/>
      <c r="L305" s="5" t="n"/>
      <c r="M305" s="5" t="n"/>
      <c r="N305" s="5" t="n"/>
    </row>
    <row r="306">
      <c r="A306" s="5" t="n"/>
      <c r="B306" s="6" t="n"/>
      <c r="C306" s="5" t="n"/>
      <c r="D306" s="5" t="n"/>
      <c r="E306" s="7" t="n"/>
      <c r="F306" s="6" t="n"/>
      <c r="G306" s="6" t="n"/>
      <c r="H306" s="6" t="n"/>
      <c r="I306" s="6" t="n"/>
      <c r="J306" s="6" t="n"/>
      <c r="K306" s="7" t="n"/>
      <c r="L306" s="5" t="n"/>
      <c r="M306" s="5" t="n"/>
      <c r="N306" s="5" t="n"/>
    </row>
    <row r="307">
      <c r="A307" s="5" t="n"/>
      <c r="B307" s="6" t="n"/>
      <c r="C307" s="5" t="n"/>
      <c r="D307" s="5" t="n"/>
      <c r="E307" s="7" t="n"/>
      <c r="F307" s="6" t="n"/>
      <c r="G307" s="6" t="n"/>
      <c r="H307" s="6" t="n"/>
      <c r="I307" s="6" t="n"/>
      <c r="J307" s="6" t="n"/>
      <c r="K307" s="7" t="n"/>
      <c r="L307" s="5" t="n"/>
      <c r="M307" s="5" t="n"/>
      <c r="N307" s="5" t="n"/>
    </row>
    <row r="308">
      <c r="A308" s="5" t="n"/>
      <c r="B308" s="6" t="n"/>
      <c r="C308" s="5" t="n"/>
      <c r="D308" s="5" t="n"/>
      <c r="E308" s="7" t="n"/>
      <c r="F308" s="6" t="n"/>
      <c r="G308" s="6" t="n"/>
      <c r="H308" s="6" t="n"/>
      <c r="I308" s="6" t="n"/>
      <c r="J308" s="6" t="n"/>
      <c r="K308" s="7" t="n"/>
      <c r="L308" s="5" t="n"/>
      <c r="M308" s="5" t="n"/>
      <c r="N308" s="5" t="n"/>
    </row>
    <row r="309">
      <c r="A309" s="5" t="n"/>
      <c r="B309" s="6" t="n"/>
      <c r="C309" s="5" t="n"/>
      <c r="D309" s="5" t="n"/>
      <c r="E309" s="7" t="n"/>
      <c r="F309" s="6" t="n"/>
      <c r="G309" s="6" t="n"/>
      <c r="H309" s="6" t="n"/>
      <c r="I309" s="6" t="n"/>
      <c r="J309" s="6" t="n"/>
      <c r="K309" s="7" t="n"/>
      <c r="L309" s="5" t="n"/>
      <c r="M309" s="5" t="n"/>
      <c r="N309" s="5" t="n"/>
    </row>
    <row r="310">
      <c r="A310" s="5" t="n"/>
      <c r="B310" s="6" t="n"/>
      <c r="C310" s="5" t="n"/>
      <c r="D310" s="5" t="n"/>
      <c r="E310" s="7" t="n"/>
      <c r="F310" s="6" t="n"/>
      <c r="G310" s="6" t="n"/>
      <c r="H310" s="6" t="n"/>
      <c r="I310" s="6" t="n"/>
      <c r="J310" s="6" t="n"/>
      <c r="K310" s="7" t="n"/>
      <c r="L310" s="5" t="n"/>
      <c r="M310" s="5" t="n"/>
      <c r="N310" s="5" t="n"/>
    </row>
    <row r="311">
      <c r="A311" s="5" t="n"/>
      <c r="B311" s="6" t="n"/>
      <c r="C311" s="5" t="n"/>
      <c r="D311" s="5" t="n"/>
      <c r="E311" s="7" t="n"/>
      <c r="F311" s="6" t="n"/>
      <c r="G311" s="6" t="n"/>
      <c r="H311" s="6" t="n"/>
      <c r="I311" s="6" t="n"/>
      <c r="J311" s="6" t="n"/>
      <c r="K311" s="7" t="n"/>
      <c r="L311" s="5" t="n"/>
      <c r="M311" s="5" t="n"/>
      <c r="N311" s="5" t="n"/>
    </row>
    <row r="312">
      <c r="A312" s="5" t="n"/>
      <c r="B312" s="6" t="n"/>
      <c r="C312" s="5" t="n"/>
      <c r="D312" s="5" t="n"/>
      <c r="E312" s="7" t="n"/>
      <c r="F312" s="6" t="n"/>
      <c r="G312" s="6" t="n"/>
      <c r="H312" s="6" t="n"/>
      <c r="I312" s="6" t="n"/>
      <c r="J312" s="6" t="n"/>
      <c r="K312" s="7" t="n"/>
      <c r="L312" s="5" t="n"/>
      <c r="M312" s="5" t="n"/>
      <c r="N312" s="5" t="n"/>
    </row>
    <row r="313">
      <c r="A313" s="5" t="n"/>
      <c r="B313" s="6" t="n"/>
      <c r="C313" s="5" t="n"/>
      <c r="D313" s="5" t="n"/>
      <c r="E313" s="7" t="n"/>
      <c r="F313" s="6" t="n"/>
      <c r="G313" s="6" t="n"/>
      <c r="H313" s="6" t="n"/>
      <c r="I313" s="6" t="n"/>
      <c r="J313" s="6" t="n"/>
      <c r="K313" s="7" t="n"/>
      <c r="L313" s="5" t="n"/>
      <c r="M313" s="5" t="n"/>
      <c r="N313" s="5" t="n"/>
    </row>
    <row r="314">
      <c r="A314" s="5" t="n"/>
      <c r="B314" s="6" t="n"/>
      <c r="C314" s="5" t="n"/>
      <c r="D314" s="5" t="n"/>
      <c r="E314" s="7" t="n"/>
      <c r="F314" s="6" t="n"/>
      <c r="G314" s="6" t="n"/>
      <c r="H314" s="6" t="n"/>
      <c r="I314" s="6" t="n"/>
      <c r="J314" s="6" t="n"/>
      <c r="K314" s="7" t="n"/>
      <c r="L314" s="5" t="n"/>
      <c r="M314" s="5" t="n"/>
      <c r="N314" s="5" t="n"/>
    </row>
    <row r="315">
      <c r="A315" s="5" t="n"/>
      <c r="B315" s="6" t="n"/>
      <c r="C315" s="5" t="n"/>
      <c r="D315" s="5" t="n"/>
      <c r="E315" s="7" t="n"/>
      <c r="F315" s="6" t="n"/>
      <c r="G315" s="6" t="n"/>
      <c r="H315" s="6" t="n"/>
      <c r="I315" s="6" t="n"/>
      <c r="J315" s="6" t="n"/>
      <c r="K315" s="7" t="n"/>
      <c r="L315" s="5" t="n"/>
      <c r="M315" s="5" t="n"/>
      <c r="N315" s="5" t="n"/>
    </row>
    <row r="316">
      <c r="A316" s="5" t="n"/>
      <c r="B316" s="6" t="n"/>
      <c r="C316" s="5" t="n"/>
      <c r="D316" s="5" t="n"/>
      <c r="E316" s="7" t="n"/>
      <c r="F316" s="6" t="n"/>
      <c r="G316" s="6" t="n"/>
      <c r="H316" s="6" t="n"/>
      <c r="I316" s="6" t="n"/>
      <c r="J316" s="6" t="n"/>
      <c r="K316" s="7" t="n"/>
      <c r="L316" s="5" t="n"/>
      <c r="M316" s="5" t="n"/>
      <c r="N316" s="5" t="n"/>
    </row>
    <row r="317">
      <c r="A317" s="5" t="n"/>
      <c r="B317" s="6" t="n"/>
      <c r="C317" s="5" t="n"/>
      <c r="D317" s="5" t="n"/>
      <c r="E317" s="7" t="n"/>
      <c r="F317" s="6" t="n"/>
      <c r="G317" s="6" t="n"/>
      <c r="H317" s="6" t="n"/>
      <c r="I317" s="6" t="n"/>
      <c r="J317" s="6" t="n"/>
      <c r="K317" s="7" t="n"/>
      <c r="L317" s="5" t="n"/>
      <c r="M317" s="5" t="n"/>
      <c r="N317" s="5" t="n"/>
    </row>
    <row r="318">
      <c r="A318" s="5" t="n"/>
      <c r="B318" s="6" t="n"/>
      <c r="C318" s="5" t="n"/>
      <c r="D318" s="5" t="n"/>
      <c r="E318" s="7" t="n"/>
      <c r="F318" s="6" t="n"/>
      <c r="G318" s="6" t="n"/>
      <c r="H318" s="6" t="n"/>
      <c r="I318" s="6" t="n"/>
      <c r="J318" s="6" t="n"/>
      <c r="K318" s="7" t="n"/>
      <c r="L318" s="5" t="n"/>
      <c r="M318" s="5" t="n"/>
      <c r="N318" s="5" t="n"/>
    </row>
    <row r="319">
      <c r="A319" s="5" t="n"/>
      <c r="B319" s="6" t="n"/>
      <c r="C319" s="5" t="n"/>
      <c r="D319" s="5" t="n"/>
      <c r="E319" s="7" t="n"/>
      <c r="F319" s="6" t="n"/>
      <c r="G319" s="6" t="n"/>
      <c r="H319" s="6" t="n"/>
      <c r="I319" s="6" t="n"/>
      <c r="J319" s="6" t="n"/>
      <c r="K319" s="7" t="n"/>
      <c r="L319" s="5" t="n"/>
      <c r="M319" s="5" t="n"/>
      <c r="N319" s="5" t="n"/>
    </row>
    <row r="320">
      <c r="A320" s="5" t="n"/>
      <c r="B320" s="6" t="n"/>
      <c r="C320" s="5" t="n"/>
      <c r="D320" s="5" t="n"/>
      <c r="E320" s="7" t="n"/>
      <c r="F320" s="6" t="n"/>
      <c r="G320" s="6" t="n"/>
      <c r="H320" s="6" t="n"/>
      <c r="I320" s="6" t="n"/>
      <c r="J320" s="6" t="n"/>
      <c r="K320" s="7" t="n"/>
      <c r="L320" s="5" t="n"/>
      <c r="M320" s="5" t="n"/>
      <c r="N320" s="5" t="n"/>
    </row>
    <row r="321">
      <c r="A321" s="5" t="n"/>
      <c r="B321" s="6" t="n"/>
      <c r="C321" s="5" t="n"/>
      <c r="D321" s="5" t="n"/>
      <c r="E321" s="7" t="n"/>
      <c r="F321" s="6" t="n"/>
      <c r="G321" s="6" t="n"/>
      <c r="H321" s="6" t="n"/>
      <c r="I321" s="6" t="n"/>
      <c r="J321" s="6" t="n"/>
      <c r="K321" s="7" t="n"/>
      <c r="L321" s="5" t="n"/>
      <c r="M321" s="5" t="n"/>
      <c r="N321" s="5" t="n"/>
    </row>
    <row r="322">
      <c r="A322" s="5" t="n"/>
      <c r="B322" s="6" t="n"/>
      <c r="C322" s="5" t="n"/>
      <c r="D322" s="5" t="n"/>
      <c r="E322" s="7" t="n"/>
      <c r="F322" s="6" t="n"/>
      <c r="G322" s="6" t="n"/>
      <c r="H322" s="6" t="n"/>
      <c r="I322" s="6" t="n"/>
      <c r="J322" s="6" t="n"/>
      <c r="K322" s="7" t="n"/>
      <c r="L322" s="5" t="n"/>
      <c r="M322" s="5" t="n"/>
      <c r="N322" s="5" t="n"/>
    </row>
    <row r="323">
      <c r="A323" s="5" t="n"/>
      <c r="B323" s="6" t="n"/>
      <c r="C323" s="5" t="n"/>
      <c r="D323" s="5" t="n"/>
      <c r="E323" s="7" t="n"/>
      <c r="F323" s="6" t="n"/>
      <c r="G323" s="6" t="n"/>
      <c r="H323" s="6" t="n"/>
      <c r="I323" s="6" t="n"/>
      <c r="J323" s="6" t="n"/>
      <c r="K323" s="7" t="n"/>
      <c r="L323" s="5" t="n"/>
      <c r="M323" s="5" t="n"/>
      <c r="N323" s="5" t="n"/>
    </row>
    <row r="324">
      <c r="A324" s="5" t="n"/>
      <c r="B324" s="6" t="n"/>
      <c r="C324" s="5" t="n"/>
      <c r="D324" s="5" t="n"/>
      <c r="E324" s="7" t="n"/>
      <c r="F324" s="6" t="n"/>
      <c r="G324" s="6" t="n"/>
      <c r="H324" s="6" t="n"/>
      <c r="I324" s="6" t="n"/>
      <c r="J324" s="6" t="n"/>
      <c r="K324" s="7" t="n"/>
      <c r="L324" s="5" t="n"/>
      <c r="M324" s="5" t="n"/>
      <c r="N324" s="5" t="n"/>
    </row>
    <row r="325">
      <c r="A325" s="5" t="n"/>
      <c r="B325" s="6" t="n"/>
      <c r="C325" s="5" t="n"/>
      <c r="D325" s="5" t="n"/>
      <c r="E325" s="7" t="n"/>
      <c r="F325" s="6" t="n"/>
      <c r="G325" s="6" t="n"/>
      <c r="H325" s="6" t="n"/>
      <c r="I325" s="6" t="n"/>
      <c r="J325" s="6" t="n"/>
      <c r="K325" s="7" t="n"/>
      <c r="L325" s="5" t="n"/>
      <c r="M325" s="5" t="n"/>
      <c r="N325" s="5" t="n"/>
    </row>
    <row r="326">
      <c r="A326" s="5" t="n"/>
      <c r="B326" s="6" t="n"/>
      <c r="C326" s="5" t="n"/>
      <c r="D326" s="5" t="n"/>
      <c r="E326" s="7" t="n"/>
      <c r="F326" s="6" t="n"/>
      <c r="G326" s="6" t="n"/>
      <c r="H326" s="6" t="n"/>
      <c r="I326" s="6" t="n"/>
      <c r="J326" s="6" t="n"/>
      <c r="K326" s="7" t="n"/>
      <c r="L326" s="5" t="n"/>
      <c r="M326" s="5" t="n"/>
      <c r="N326" s="5" t="n"/>
    </row>
    <row r="327">
      <c r="A327" s="5" t="n"/>
      <c r="B327" s="6" t="n"/>
      <c r="C327" s="5" t="n"/>
      <c r="D327" s="5" t="n"/>
      <c r="E327" s="7" t="n"/>
      <c r="F327" s="6" t="n"/>
      <c r="G327" s="6" t="n"/>
      <c r="H327" s="6" t="n"/>
      <c r="I327" s="6" t="n"/>
      <c r="J327" s="6" t="n"/>
      <c r="K327" s="7" t="n"/>
      <c r="L327" s="5" t="n"/>
      <c r="M327" s="5" t="n"/>
      <c r="N327" s="5" t="n"/>
    </row>
    <row r="328">
      <c r="A328" s="5" t="n"/>
      <c r="B328" s="6" t="n"/>
      <c r="C328" s="5" t="n"/>
      <c r="D328" s="5" t="n"/>
      <c r="E328" s="7" t="n"/>
      <c r="F328" s="6" t="n"/>
      <c r="G328" s="6" t="n"/>
      <c r="H328" s="6" t="n"/>
      <c r="I328" s="6" t="n"/>
      <c r="J328" s="6" t="n"/>
      <c r="K328" s="7" t="n"/>
      <c r="L328" s="5" t="n"/>
      <c r="M328" s="5" t="n"/>
      <c r="N328" s="5" t="n"/>
    </row>
    <row r="329">
      <c r="A329" s="5" t="n"/>
      <c r="B329" s="6" t="n"/>
      <c r="C329" s="5" t="n"/>
      <c r="D329" s="5" t="n"/>
      <c r="E329" s="7" t="n"/>
      <c r="F329" s="6" t="n"/>
      <c r="G329" s="6" t="n"/>
      <c r="H329" s="6" t="n"/>
      <c r="I329" s="6" t="n"/>
      <c r="J329" s="6" t="n"/>
      <c r="K329" s="7" t="n"/>
      <c r="L329" s="5" t="n"/>
      <c r="M329" s="5" t="n"/>
      <c r="N329" s="5" t="n"/>
    </row>
    <row r="330">
      <c r="A330" s="5" t="n"/>
      <c r="B330" s="6" t="n"/>
      <c r="C330" s="5" t="n"/>
      <c r="D330" s="5" t="n"/>
      <c r="E330" s="7" t="n"/>
      <c r="F330" s="6" t="n"/>
      <c r="G330" s="6" t="n"/>
      <c r="H330" s="6" t="n"/>
      <c r="I330" s="6" t="n"/>
      <c r="J330" s="6" t="n"/>
      <c r="K330" s="7" t="n"/>
      <c r="L330" s="5" t="n"/>
      <c r="M330" s="5" t="n"/>
      <c r="N330" s="5" t="n"/>
    </row>
    <row r="331">
      <c r="A331" s="5" t="n"/>
      <c r="B331" s="6" t="n"/>
      <c r="C331" s="5" t="n"/>
      <c r="D331" s="5" t="n"/>
      <c r="E331" s="7" t="n"/>
      <c r="F331" s="6" t="n"/>
      <c r="G331" s="6" t="n"/>
      <c r="H331" s="6" t="n"/>
      <c r="I331" s="6" t="n"/>
      <c r="J331" s="6" t="n"/>
      <c r="K331" s="7" t="n"/>
      <c r="L331" s="5" t="n"/>
      <c r="M331" s="5" t="n"/>
      <c r="N331" s="5" t="n"/>
    </row>
    <row r="332">
      <c r="A332" s="5" t="n"/>
      <c r="B332" s="6" t="n"/>
      <c r="C332" s="5" t="n"/>
      <c r="D332" s="5" t="n"/>
      <c r="E332" s="7" t="n"/>
      <c r="F332" s="6" t="n"/>
      <c r="G332" s="6" t="n"/>
      <c r="H332" s="6" t="n"/>
      <c r="I332" s="6" t="n"/>
      <c r="J332" s="6" t="n"/>
      <c r="K332" s="7" t="n"/>
      <c r="L332" s="5" t="n"/>
      <c r="M332" s="5" t="n"/>
      <c r="N332" s="5" t="n"/>
    </row>
    <row r="333">
      <c r="A333" s="5" t="n"/>
      <c r="B333" s="6" t="n"/>
      <c r="C333" s="5" t="n"/>
      <c r="D333" s="5" t="n"/>
      <c r="E333" s="7" t="n"/>
      <c r="F333" s="6" t="n"/>
      <c r="G333" s="6" t="n"/>
      <c r="H333" s="6" t="n"/>
      <c r="I333" s="6" t="n"/>
      <c r="J333" s="6" t="n"/>
      <c r="K333" s="7" t="n"/>
      <c r="L333" s="5" t="n"/>
      <c r="M333" s="5" t="n"/>
      <c r="N333" s="5" t="n"/>
    </row>
    <row r="334">
      <c r="A334" s="5" t="n"/>
      <c r="B334" s="6" t="n"/>
      <c r="C334" s="5" t="n"/>
      <c r="D334" s="5" t="n"/>
      <c r="E334" s="7" t="n"/>
      <c r="F334" s="6" t="n"/>
      <c r="G334" s="6" t="n"/>
      <c r="H334" s="6" t="n"/>
      <c r="I334" s="6" t="n"/>
      <c r="J334" s="6" t="n"/>
      <c r="K334" s="7" t="n"/>
      <c r="L334" s="5" t="n"/>
      <c r="M334" s="5" t="n"/>
      <c r="N334" s="5" t="n"/>
    </row>
    <row r="335">
      <c r="A335" s="5" t="n"/>
      <c r="B335" s="6" t="n"/>
      <c r="C335" s="5" t="n"/>
      <c r="D335" s="5" t="n"/>
      <c r="E335" s="7" t="n"/>
      <c r="F335" s="6" t="n"/>
      <c r="G335" s="6" t="n"/>
      <c r="H335" s="6" t="n"/>
      <c r="I335" s="6" t="n"/>
      <c r="J335" s="6" t="n"/>
      <c r="K335" s="7" t="n"/>
      <c r="L335" s="5" t="n"/>
      <c r="M335" s="5" t="n"/>
      <c r="N335" s="5" t="n"/>
    </row>
    <row r="336">
      <c r="A336" s="5" t="n"/>
      <c r="B336" s="6" t="n"/>
      <c r="C336" s="5" t="n"/>
      <c r="D336" s="5" t="n"/>
      <c r="E336" s="7" t="n"/>
      <c r="F336" s="6" t="n"/>
      <c r="G336" s="6" t="n"/>
      <c r="H336" s="6" t="n"/>
      <c r="I336" s="6" t="n"/>
      <c r="J336" s="6" t="n"/>
      <c r="K336" s="7" t="n"/>
      <c r="L336" s="5" t="n"/>
      <c r="M336" s="5" t="n"/>
      <c r="N336" s="5" t="n"/>
    </row>
    <row r="337">
      <c r="A337" s="5" t="n"/>
      <c r="B337" s="6" t="n"/>
      <c r="C337" s="5" t="n"/>
      <c r="D337" s="5" t="n"/>
      <c r="E337" s="7" t="n"/>
      <c r="F337" s="6" t="n"/>
      <c r="G337" s="6" t="n"/>
      <c r="H337" s="6" t="n"/>
      <c r="I337" s="6" t="n"/>
      <c r="J337" s="6" t="n"/>
      <c r="K337" s="7" t="n"/>
      <c r="L337" s="5" t="n"/>
      <c r="M337" s="5" t="n"/>
      <c r="N337" s="5" t="n"/>
    </row>
    <row r="338">
      <c r="A338" s="5" t="n"/>
      <c r="B338" s="6" t="n"/>
      <c r="C338" s="5" t="n"/>
      <c r="D338" s="5" t="n"/>
      <c r="E338" s="7" t="n"/>
      <c r="F338" s="6" t="n"/>
      <c r="G338" s="6" t="n"/>
      <c r="H338" s="6" t="n"/>
      <c r="I338" s="6" t="n"/>
      <c r="J338" s="6" t="n"/>
      <c r="K338" s="7" t="n"/>
      <c r="L338" s="5" t="n"/>
      <c r="M338" s="5" t="n"/>
      <c r="N338" s="5" t="n"/>
    </row>
    <row r="339">
      <c r="A339" s="5" t="n"/>
      <c r="B339" s="6" t="n"/>
      <c r="C339" s="5" t="n"/>
      <c r="D339" s="5" t="n"/>
      <c r="E339" s="7" t="n"/>
      <c r="F339" s="6" t="n"/>
      <c r="G339" s="6" t="n"/>
      <c r="H339" s="6" t="n"/>
      <c r="I339" s="6" t="n"/>
      <c r="J339" s="6" t="n"/>
      <c r="K339" s="7" t="n"/>
      <c r="L339" s="5" t="n"/>
      <c r="M339" s="5" t="n"/>
      <c r="N339" s="5" t="n"/>
    </row>
    <row r="340">
      <c r="A340" s="5" t="n"/>
      <c r="B340" s="6" t="n"/>
      <c r="C340" s="5" t="n"/>
      <c r="D340" s="5" t="n"/>
      <c r="E340" s="7" t="n"/>
      <c r="F340" s="6" t="n"/>
      <c r="G340" s="6" t="n"/>
      <c r="H340" s="6" t="n"/>
      <c r="I340" s="6" t="n"/>
      <c r="J340" s="6" t="n"/>
      <c r="K340" s="7" t="n"/>
      <c r="L340" s="5" t="n"/>
      <c r="M340" s="5" t="n"/>
      <c r="N340" s="5" t="n"/>
    </row>
    <row r="341">
      <c r="A341" s="5" t="n"/>
      <c r="B341" s="6" t="n"/>
      <c r="C341" s="5" t="n"/>
      <c r="D341" s="5" t="n"/>
      <c r="E341" s="7" t="n"/>
      <c r="F341" s="6" t="n"/>
      <c r="G341" s="6" t="n"/>
      <c r="H341" s="6" t="n"/>
      <c r="I341" s="6" t="n"/>
      <c r="J341" s="6" t="n"/>
      <c r="K341" s="7" t="n"/>
      <c r="L341" s="5" t="n"/>
      <c r="M341" s="5" t="n"/>
      <c r="N341" s="5" t="n"/>
    </row>
    <row r="342">
      <c r="A342" s="5" t="n"/>
      <c r="B342" s="6" t="n"/>
      <c r="C342" s="5" t="n"/>
      <c r="D342" s="5" t="n"/>
      <c r="E342" s="7" t="n"/>
      <c r="F342" s="6" t="n"/>
      <c r="G342" s="6" t="n"/>
      <c r="H342" s="6" t="n"/>
      <c r="I342" s="6" t="n"/>
      <c r="J342" s="6" t="n"/>
      <c r="K342" s="7" t="n"/>
      <c r="L342" s="5" t="n"/>
      <c r="M342" s="5" t="n"/>
      <c r="N342" s="5" t="n"/>
    </row>
    <row r="343">
      <c r="A343" s="5" t="n"/>
      <c r="B343" s="6" t="n"/>
      <c r="C343" s="5" t="n"/>
      <c r="D343" s="5" t="n"/>
      <c r="E343" s="7" t="n"/>
      <c r="F343" s="6" t="n"/>
      <c r="G343" s="6" t="n"/>
      <c r="H343" s="6" t="n"/>
      <c r="I343" s="6" t="n"/>
      <c r="J343" s="6" t="n"/>
      <c r="K343" s="7" t="n"/>
      <c r="L343" s="5" t="n"/>
      <c r="M343" s="5" t="n"/>
      <c r="N343" s="5" t="n"/>
    </row>
    <row r="344">
      <c r="A344" s="5" t="n"/>
      <c r="B344" s="6" t="n"/>
      <c r="C344" s="5" t="n"/>
      <c r="D344" s="5" t="n"/>
      <c r="E344" s="7" t="n"/>
      <c r="F344" s="6" t="n"/>
      <c r="G344" s="6" t="n"/>
      <c r="H344" s="6" t="n"/>
      <c r="I344" s="6" t="n"/>
      <c r="J344" s="6" t="n"/>
      <c r="K344" s="7" t="n"/>
      <c r="L344" s="5" t="n"/>
      <c r="M344" s="5" t="n"/>
      <c r="N344" s="5" t="n"/>
    </row>
    <row r="345">
      <c r="A345" s="5" t="n"/>
      <c r="B345" s="6" t="n"/>
      <c r="C345" s="5" t="n"/>
      <c r="D345" s="5" t="n"/>
      <c r="E345" s="7" t="n"/>
      <c r="F345" s="6" t="n"/>
      <c r="G345" s="6" t="n"/>
      <c r="H345" s="6" t="n"/>
      <c r="I345" s="6" t="n"/>
      <c r="J345" s="6" t="n"/>
      <c r="K345" s="7" t="n"/>
      <c r="L345" s="5" t="n"/>
      <c r="M345" s="5" t="n"/>
      <c r="N345" s="5" t="n"/>
    </row>
    <row r="346">
      <c r="A346" s="5" t="n"/>
      <c r="B346" s="6" t="n"/>
      <c r="C346" s="5" t="n"/>
      <c r="D346" s="5" t="n"/>
      <c r="E346" s="7" t="n"/>
      <c r="F346" s="6" t="n"/>
      <c r="G346" s="6" t="n"/>
      <c r="H346" s="6" t="n"/>
      <c r="I346" s="6" t="n"/>
      <c r="J346" s="6" t="n"/>
      <c r="K346" s="7" t="n"/>
      <c r="L346" s="5" t="n"/>
      <c r="M346" s="5" t="n"/>
      <c r="N346" s="5" t="n"/>
    </row>
    <row r="347">
      <c r="A347" s="5" t="n"/>
      <c r="B347" s="6" t="n"/>
      <c r="C347" s="5" t="n"/>
      <c r="D347" s="5" t="n"/>
      <c r="E347" s="7" t="n"/>
      <c r="F347" s="6" t="n"/>
      <c r="G347" s="6" t="n"/>
      <c r="H347" s="6" t="n"/>
      <c r="I347" s="6" t="n"/>
      <c r="J347" s="6" t="n"/>
      <c r="K347" s="7" t="n"/>
      <c r="L347" s="5" t="n"/>
      <c r="M347" s="5" t="n"/>
      <c r="N347" s="5" t="n"/>
    </row>
    <row r="348">
      <c r="A348" s="5" t="n"/>
      <c r="B348" s="6" t="n"/>
      <c r="C348" s="5" t="n"/>
      <c r="D348" s="5" t="n"/>
      <c r="E348" s="7" t="n"/>
      <c r="F348" s="6" t="n"/>
      <c r="G348" s="6" t="n"/>
      <c r="H348" s="6" t="n"/>
      <c r="I348" s="6" t="n"/>
      <c r="J348" s="6" t="n"/>
      <c r="K348" s="7" t="n"/>
      <c r="L348" s="5" t="n"/>
      <c r="M348" s="5" t="n"/>
      <c r="N348" s="5" t="n"/>
    </row>
    <row r="349">
      <c r="A349" s="5" t="n"/>
      <c r="B349" s="6" t="n"/>
      <c r="C349" s="5" t="n"/>
      <c r="D349" s="5" t="n"/>
      <c r="E349" s="7" t="n"/>
      <c r="F349" s="6" t="n"/>
      <c r="G349" s="6" t="n"/>
      <c r="H349" s="6" t="n"/>
      <c r="I349" s="6" t="n"/>
      <c r="J349" s="6" t="n"/>
      <c r="K349" s="7" t="n"/>
      <c r="L349" s="5" t="n"/>
      <c r="M349" s="5" t="n"/>
      <c r="N349" s="5" t="n"/>
    </row>
    <row r="350">
      <c r="A350" s="5" t="n"/>
      <c r="B350" s="6" t="n"/>
      <c r="C350" s="5" t="n"/>
      <c r="D350" s="5" t="n"/>
      <c r="E350" s="7" t="n"/>
      <c r="F350" s="6" t="n"/>
      <c r="G350" s="6" t="n"/>
      <c r="H350" s="6" t="n"/>
      <c r="I350" s="6" t="n"/>
      <c r="J350" s="6" t="n"/>
      <c r="K350" s="7" t="n"/>
      <c r="L350" s="5" t="n"/>
      <c r="M350" s="5" t="n"/>
      <c r="N350" s="5" t="n"/>
    </row>
    <row r="351">
      <c r="A351" s="5" t="n"/>
      <c r="B351" s="6" t="n"/>
      <c r="C351" s="5" t="n"/>
      <c r="D351" s="5" t="n"/>
      <c r="E351" s="7" t="n"/>
      <c r="F351" s="6" t="n"/>
      <c r="G351" s="6" t="n"/>
      <c r="H351" s="6" t="n"/>
      <c r="I351" s="6" t="n"/>
      <c r="J351" s="6" t="n"/>
      <c r="K351" s="7" t="n"/>
      <c r="L351" s="5" t="n"/>
      <c r="M351" s="5" t="n"/>
      <c r="N351" s="5" t="n"/>
    </row>
    <row r="352">
      <c r="A352" s="5" t="n"/>
      <c r="B352" s="6" t="n"/>
      <c r="C352" s="5" t="n"/>
      <c r="D352" s="5" t="n"/>
      <c r="E352" s="7" t="n"/>
      <c r="F352" s="6" t="n"/>
      <c r="G352" s="6" t="n"/>
      <c r="H352" s="6" t="n"/>
      <c r="I352" s="6" t="n"/>
      <c r="J352" s="6" t="n"/>
      <c r="K352" s="7" t="n"/>
      <c r="L352" s="5" t="n"/>
      <c r="M352" s="5" t="n"/>
      <c r="N352" s="5" t="n"/>
    </row>
    <row r="353">
      <c r="A353" s="5" t="n"/>
      <c r="B353" s="6" t="n"/>
      <c r="C353" s="5" t="n"/>
      <c r="D353" s="5" t="n"/>
      <c r="E353" s="7" t="n"/>
      <c r="F353" s="6" t="n"/>
      <c r="G353" s="6" t="n"/>
      <c r="H353" s="6" t="n"/>
      <c r="I353" s="6" t="n"/>
      <c r="J353" s="6" t="n"/>
      <c r="K353" s="7" t="n"/>
      <c r="L353" s="5" t="n"/>
      <c r="M353" s="5" t="n"/>
      <c r="N353" s="5" t="n"/>
    </row>
    <row r="354">
      <c r="A354" s="5" t="n"/>
      <c r="B354" s="6" t="n"/>
      <c r="C354" s="5" t="n"/>
      <c r="D354" s="5" t="n"/>
      <c r="E354" s="7" t="n"/>
      <c r="F354" s="6" t="n"/>
      <c r="G354" s="6" t="n"/>
      <c r="H354" s="6" t="n"/>
      <c r="I354" s="6" t="n"/>
      <c r="J354" s="6" t="n"/>
      <c r="K354" s="7" t="n"/>
      <c r="L354" s="5" t="n"/>
      <c r="M354" s="5" t="n"/>
      <c r="N354" s="5" t="n"/>
    </row>
    <row r="355">
      <c r="A355" s="5" t="n"/>
      <c r="B355" s="6" t="n"/>
      <c r="C355" s="5" t="n"/>
      <c r="D355" s="5" t="n"/>
      <c r="E355" s="7" t="n"/>
      <c r="F355" s="6" t="n"/>
      <c r="G355" s="6" t="n"/>
      <c r="H355" s="6" t="n"/>
      <c r="I355" s="6" t="n"/>
      <c r="J355" s="6" t="n"/>
      <c r="K355" s="7" t="n"/>
      <c r="L355" s="5" t="n"/>
      <c r="M355" s="5" t="n"/>
      <c r="N355" s="5" t="n"/>
    </row>
    <row r="356">
      <c r="A356" s="5" t="n"/>
      <c r="B356" s="6" t="n"/>
      <c r="C356" s="5" t="n"/>
      <c r="D356" s="5" t="n"/>
      <c r="E356" s="7" t="n"/>
      <c r="F356" s="6" t="n"/>
      <c r="G356" s="6" t="n"/>
      <c r="H356" s="6" t="n"/>
      <c r="I356" s="6" t="n"/>
      <c r="J356" s="6" t="n"/>
      <c r="K356" s="7" t="n"/>
      <c r="L356" s="5" t="n"/>
      <c r="M356" s="5" t="n"/>
      <c r="N356" s="5" t="n"/>
    </row>
    <row r="357">
      <c r="A357" s="5" t="n"/>
      <c r="B357" s="6" t="n"/>
      <c r="C357" s="5" t="n"/>
      <c r="D357" s="5" t="n"/>
      <c r="E357" s="7" t="n"/>
      <c r="F357" s="6" t="n"/>
      <c r="G357" s="6" t="n"/>
      <c r="H357" s="6" t="n"/>
      <c r="I357" s="6" t="n"/>
      <c r="J357" s="6" t="n"/>
      <c r="K357" s="7" t="n"/>
      <c r="L357" s="5" t="n"/>
      <c r="M357" s="5" t="n"/>
      <c r="N357" s="5" t="n"/>
    </row>
    <row r="358">
      <c r="A358" s="5" t="n"/>
      <c r="B358" s="6" t="n"/>
      <c r="C358" s="5" t="n"/>
      <c r="D358" s="5" t="n"/>
      <c r="E358" s="7" t="n"/>
      <c r="F358" s="6" t="n"/>
      <c r="G358" s="6" t="n"/>
      <c r="H358" s="6" t="n"/>
      <c r="I358" s="6" t="n"/>
      <c r="J358" s="6" t="n"/>
      <c r="K358" s="7" t="n"/>
      <c r="L358" s="5" t="n"/>
      <c r="M358" s="5" t="n"/>
      <c r="N358" s="5" t="n"/>
    </row>
    <row r="359">
      <c r="A359" s="5" t="n"/>
      <c r="B359" s="6" t="n"/>
      <c r="C359" s="5" t="n"/>
      <c r="D359" s="5" t="n"/>
      <c r="E359" s="7" t="n"/>
      <c r="F359" s="6" t="n"/>
      <c r="G359" s="6" t="n"/>
      <c r="H359" s="6" t="n"/>
      <c r="I359" s="6" t="n"/>
      <c r="J359" s="6" t="n"/>
      <c r="K359" s="7" t="n"/>
      <c r="L359" s="5" t="n"/>
      <c r="M359" s="5" t="n"/>
      <c r="N359" s="5" t="n"/>
    </row>
    <row r="360">
      <c r="A360" s="5" t="n"/>
      <c r="B360" s="6" t="n"/>
      <c r="C360" s="5" t="n"/>
      <c r="D360" s="5" t="n"/>
      <c r="E360" s="7" t="n"/>
      <c r="F360" s="6" t="n"/>
      <c r="G360" s="6" t="n"/>
      <c r="H360" s="6" t="n"/>
      <c r="I360" s="6" t="n"/>
      <c r="J360" s="6" t="n"/>
      <c r="K360" s="7" t="n"/>
      <c r="L360" s="5" t="n"/>
      <c r="M360" s="5" t="n"/>
      <c r="N360" s="5" t="n"/>
    </row>
    <row r="361">
      <c r="A361" s="5" t="n"/>
      <c r="B361" s="6" t="n"/>
      <c r="C361" s="5" t="n"/>
      <c r="D361" s="5" t="n"/>
      <c r="E361" s="7" t="n"/>
      <c r="F361" s="6" t="n"/>
      <c r="G361" s="6" t="n"/>
      <c r="H361" s="6" t="n"/>
      <c r="I361" s="6" t="n"/>
      <c r="J361" s="6" t="n"/>
      <c r="K361" s="7" t="n"/>
      <c r="L361" s="5" t="n"/>
      <c r="M361" s="5" t="n"/>
      <c r="N361" s="5" t="n"/>
    </row>
    <row r="362">
      <c r="A362" s="5" t="n"/>
      <c r="B362" s="6" t="n"/>
      <c r="C362" s="5" t="n"/>
      <c r="D362" s="5" t="n"/>
      <c r="E362" s="7" t="n"/>
      <c r="F362" s="6" t="n"/>
      <c r="G362" s="6" t="n"/>
      <c r="H362" s="6" t="n"/>
      <c r="I362" s="6" t="n"/>
      <c r="J362" s="6" t="n"/>
      <c r="K362" s="7" t="n"/>
      <c r="L362" s="5" t="n"/>
      <c r="M362" s="5" t="n"/>
      <c r="N362" s="5" t="n"/>
    </row>
    <row r="363">
      <c r="A363" s="5" t="n"/>
      <c r="B363" s="6" t="n"/>
      <c r="C363" s="5" t="n"/>
      <c r="D363" s="5" t="n"/>
      <c r="E363" s="7" t="n"/>
      <c r="F363" s="6" t="n"/>
      <c r="G363" s="6" t="n"/>
      <c r="H363" s="6" t="n"/>
      <c r="I363" s="6" t="n"/>
      <c r="J363" s="6" t="n"/>
      <c r="K363" s="7" t="n"/>
      <c r="L363" s="5" t="n"/>
      <c r="M363" s="5" t="n"/>
      <c r="N363" s="5" t="n"/>
    </row>
    <row r="364">
      <c r="A364" s="5" t="n"/>
      <c r="B364" s="6" t="n"/>
      <c r="C364" s="5" t="n"/>
      <c r="D364" s="5" t="n"/>
      <c r="E364" s="7" t="n"/>
      <c r="F364" s="6" t="n"/>
      <c r="G364" s="6" t="n"/>
      <c r="H364" s="6" t="n"/>
      <c r="I364" s="6" t="n"/>
      <c r="J364" s="6" t="n"/>
      <c r="K364" s="7" t="n"/>
      <c r="L364" s="5" t="n"/>
      <c r="M364" s="5" t="n"/>
      <c r="N364" s="5" t="n"/>
    </row>
    <row r="365">
      <c r="A365" s="5" t="n"/>
      <c r="B365" s="6" t="n"/>
      <c r="C365" s="5" t="n"/>
      <c r="D365" s="5" t="n"/>
      <c r="E365" s="7" t="n"/>
      <c r="F365" s="6" t="n"/>
      <c r="G365" s="6" t="n"/>
      <c r="H365" s="6" t="n"/>
      <c r="I365" s="6" t="n"/>
      <c r="J365" s="6" t="n"/>
      <c r="K365" s="7" t="n"/>
      <c r="L365" s="5" t="n"/>
      <c r="M365" s="5" t="n"/>
      <c r="N365" s="5" t="n"/>
    </row>
    <row r="366">
      <c r="A366" s="5" t="n"/>
      <c r="B366" s="6" t="n"/>
      <c r="C366" s="5" t="n"/>
      <c r="D366" s="5" t="n"/>
      <c r="E366" s="7" t="n"/>
      <c r="F366" s="6" t="n"/>
      <c r="G366" s="6" t="n"/>
      <c r="H366" s="6" t="n"/>
      <c r="I366" s="6" t="n"/>
      <c r="J366" s="6" t="n"/>
      <c r="K366" s="7" t="n"/>
      <c r="L366" s="5" t="n"/>
      <c r="M366" s="5" t="n"/>
      <c r="N366" s="5" t="n"/>
    </row>
    <row r="367">
      <c r="A367" s="5" t="n"/>
      <c r="B367" s="6" t="n"/>
      <c r="C367" s="5" t="n"/>
      <c r="D367" s="5" t="n"/>
      <c r="E367" s="7" t="n"/>
      <c r="F367" s="6" t="n"/>
      <c r="G367" s="6" t="n"/>
      <c r="H367" s="6" t="n"/>
      <c r="I367" s="6" t="n"/>
      <c r="J367" s="6" t="n"/>
      <c r="K367" s="7" t="n"/>
      <c r="L367" s="5" t="n"/>
      <c r="M367" s="5" t="n"/>
      <c r="N367" s="5" t="n"/>
    </row>
    <row r="368">
      <c r="A368" s="5" t="n"/>
      <c r="B368" s="6" t="n"/>
      <c r="C368" s="5" t="n"/>
      <c r="D368" s="5" t="n"/>
      <c r="E368" s="7" t="n"/>
      <c r="F368" s="6" t="n"/>
      <c r="G368" s="6" t="n"/>
      <c r="H368" s="6" t="n"/>
      <c r="I368" s="6" t="n"/>
      <c r="J368" s="6" t="n"/>
      <c r="K368" s="7" t="n"/>
      <c r="L368" s="5" t="n"/>
      <c r="M368" s="5" t="n"/>
      <c r="N368" s="5" t="n"/>
    </row>
    <row r="369">
      <c r="A369" s="5" t="n"/>
      <c r="B369" s="6" t="n"/>
      <c r="C369" s="5" t="n"/>
      <c r="D369" s="5" t="n"/>
      <c r="E369" s="7" t="n"/>
      <c r="F369" s="6" t="n"/>
      <c r="G369" s="6" t="n"/>
      <c r="H369" s="6" t="n"/>
      <c r="I369" s="6" t="n"/>
      <c r="J369" s="6" t="n"/>
      <c r="K369" s="7" t="n"/>
      <c r="L369" s="5" t="n"/>
      <c r="M369" s="5" t="n"/>
      <c r="N369" s="5" t="n"/>
    </row>
    <row r="370">
      <c r="A370" s="5" t="n"/>
      <c r="B370" s="6" t="n"/>
      <c r="C370" s="5" t="n"/>
      <c r="D370" s="5" t="n"/>
      <c r="E370" s="7" t="n"/>
      <c r="F370" s="6" t="n"/>
      <c r="G370" s="6" t="n"/>
      <c r="H370" s="6" t="n"/>
      <c r="I370" s="6" t="n"/>
      <c r="J370" s="6" t="n"/>
      <c r="K370" s="7" t="n"/>
      <c r="L370" s="5" t="n"/>
      <c r="M370" s="5" t="n"/>
      <c r="N370" s="5" t="n"/>
    </row>
    <row r="371">
      <c r="A371" s="5" t="n"/>
      <c r="B371" s="6" t="n"/>
      <c r="C371" s="5" t="n"/>
      <c r="D371" s="5" t="n"/>
      <c r="E371" s="7" t="n"/>
      <c r="F371" s="6" t="n"/>
      <c r="G371" s="6" t="n"/>
      <c r="H371" s="6" t="n"/>
      <c r="I371" s="6" t="n"/>
      <c r="J371" s="6" t="n"/>
      <c r="K371" s="7" t="n"/>
      <c r="L371" s="5" t="n"/>
      <c r="M371" s="5" t="n"/>
      <c r="N371" s="5" t="n"/>
    </row>
    <row r="372">
      <c r="A372" s="5" t="n"/>
      <c r="B372" s="6" t="n"/>
      <c r="C372" s="5" t="n"/>
      <c r="D372" s="5" t="n"/>
      <c r="E372" s="7" t="n"/>
      <c r="F372" s="6" t="n"/>
      <c r="G372" s="6" t="n"/>
      <c r="H372" s="6" t="n"/>
      <c r="I372" s="6" t="n"/>
      <c r="J372" s="6" t="n"/>
      <c r="K372" s="7" t="n"/>
      <c r="L372" s="5" t="n"/>
      <c r="M372" s="5" t="n"/>
      <c r="N372" s="5" t="n"/>
    </row>
    <row r="373">
      <c r="A373" s="5" t="n"/>
      <c r="B373" s="6" t="n"/>
      <c r="C373" s="5" t="n"/>
      <c r="D373" s="5" t="n"/>
      <c r="E373" s="7" t="n"/>
      <c r="F373" s="6" t="n"/>
      <c r="G373" s="6" t="n"/>
      <c r="H373" s="6" t="n"/>
      <c r="I373" s="6" t="n"/>
      <c r="J373" s="6" t="n"/>
      <c r="K373" s="7" t="n"/>
      <c r="L373" s="5" t="n"/>
      <c r="M373" s="5" t="n"/>
      <c r="N373" s="5" t="n"/>
    </row>
    <row r="374">
      <c r="A374" s="5" t="n"/>
      <c r="B374" s="6" t="n"/>
      <c r="C374" s="5" t="n"/>
      <c r="D374" s="5" t="n"/>
      <c r="E374" s="7" t="n"/>
      <c r="F374" s="6" t="n"/>
      <c r="G374" s="6" t="n"/>
      <c r="H374" s="6" t="n"/>
      <c r="I374" s="6" t="n"/>
      <c r="J374" s="6" t="n"/>
      <c r="K374" s="7" t="n"/>
      <c r="L374" s="5" t="n"/>
      <c r="M374" s="5" t="n"/>
      <c r="N374" s="5" t="n"/>
    </row>
    <row r="375">
      <c r="A375" s="5" t="n"/>
      <c r="B375" s="6" t="n"/>
      <c r="C375" s="5" t="n"/>
      <c r="D375" s="5" t="n"/>
      <c r="E375" s="7" t="n"/>
      <c r="F375" s="6" t="n"/>
      <c r="G375" s="6" t="n"/>
      <c r="H375" s="6" t="n"/>
      <c r="I375" s="6" t="n"/>
      <c r="J375" s="6" t="n"/>
      <c r="K375" s="7" t="n"/>
      <c r="L375" s="5" t="n"/>
      <c r="M375" s="5" t="n"/>
      <c r="N375" s="5" t="n"/>
    </row>
    <row r="376">
      <c r="A376" s="5" t="n"/>
      <c r="B376" s="6" t="n"/>
      <c r="C376" s="5" t="n"/>
      <c r="D376" s="5" t="n"/>
      <c r="E376" s="7" t="n"/>
      <c r="F376" s="6" t="n"/>
      <c r="G376" s="6" t="n"/>
      <c r="H376" s="6" t="n"/>
      <c r="I376" s="6" t="n"/>
      <c r="J376" s="6" t="n"/>
      <c r="K376" s="7" t="n"/>
      <c r="L376" s="5" t="n"/>
      <c r="M376" s="5" t="n"/>
      <c r="N376" s="5" t="n"/>
    </row>
    <row r="377">
      <c r="A377" s="5" t="n"/>
      <c r="B377" s="6" t="n"/>
      <c r="C377" s="5" t="n"/>
      <c r="D377" s="5" t="n"/>
      <c r="E377" s="7" t="n"/>
      <c r="F377" s="6" t="n"/>
      <c r="G377" s="6" t="n"/>
      <c r="H377" s="6" t="n"/>
      <c r="I377" s="6" t="n"/>
      <c r="J377" s="6" t="n"/>
      <c r="K377" s="7" t="n"/>
      <c r="L377" s="5" t="n"/>
      <c r="M377" s="5" t="n"/>
      <c r="N377" s="5" t="n"/>
    </row>
    <row r="378">
      <c r="A378" s="5" t="n"/>
      <c r="B378" s="6" t="n"/>
      <c r="C378" s="5" t="n"/>
      <c r="D378" s="5" t="n"/>
      <c r="E378" s="7" t="n"/>
      <c r="F378" s="6" t="n"/>
      <c r="G378" s="6" t="n"/>
      <c r="H378" s="6" t="n"/>
      <c r="I378" s="6" t="n"/>
      <c r="J378" s="6" t="n"/>
      <c r="K378" s="7" t="n"/>
      <c r="L378" s="5" t="n"/>
      <c r="M378" s="5" t="n"/>
      <c r="N378" s="5" t="n"/>
    </row>
    <row r="379">
      <c r="A379" s="5" t="n"/>
      <c r="B379" s="6" t="n"/>
      <c r="C379" s="5" t="n"/>
      <c r="D379" s="5" t="n"/>
      <c r="E379" s="7" t="n"/>
      <c r="F379" s="6" t="n"/>
      <c r="G379" s="6" t="n"/>
      <c r="H379" s="6" t="n"/>
      <c r="I379" s="6" t="n"/>
      <c r="J379" s="6" t="n"/>
      <c r="K379" s="7" t="n"/>
      <c r="L379" s="5" t="n"/>
      <c r="M379" s="5" t="n"/>
      <c r="N379" s="5" t="n"/>
    </row>
    <row r="380">
      <c r="A380" s="5" t="n"/>
      <c r="B380" s="6" t="n"/>
      <c r="C380" s="5" t="n"/>
      <c r="D380" s="5" t="n"/>
      <c r="E380" s="7" t="n"/>
      <c r="F380" s="6" t="n"/>
      <c r="G380" s="6" t="n"/>
      <c r="H380" s="6" t="n"/>
      <c r="I380" s="6" t="n"/>
      <c r="J380" s="6" t="n"/>
      <c r="K380" s="7" t="n"/>
      <c r="L380" s="5" t="n"/>
      <c r="M380" s="5" t="n"/>
      <c r="N380" s="5" t="n"/>
    </row>
    <row r="381">
      <c r="A381" s="5" t="n"/>
      <c r="B381" s="6" t="n"/>
      <c r="C381" s="5" t="n"/>
      <c r="D381" s="5" t="n"/>
      <c r="E381" s="7" t="n"/>
      <c r="F381" s="6" t="n"/>
      <c r="G381" s="6" t="n"/>
      <c r="H381" s="6" t="n"/>
      <c r="I381" s="6" t="n"/>
      <c r="J381" s="6" t="n"/>
      <c r="K381" s="7" t="n"/>
      <c r="L381" s="5" t="n"/>
      <c r="M381" s="5" t="n"/>
      <c r="N381" s="5" t="n"/>
    </row>
    <row r="382">
      <c r="A382" s="5" t="n"/>
      <c r="B382" s="6" t="n"/>
      <c r="C382" s="5" t="n"/>
      <c r="D382" s="5" t="n"/>
      <c r="E382" s="7" t="n"/>
      <c r="F382" s="6" t="n"/>
      <c r="G382" s="6" t="n"/>
      <c r="H382" s="6" t="n"/>
      <c r="I382" s="6" t="n"/>
      <c r="J382" s="6" t="n"/>
      <c r="K382" s="7" t="n"/>
      <c r="L382" s="5" t="n"/>
      <c r="M382" s="5" t="n"/>
      <c r="N382" s="5" t="n"/>
    </row>
    <row r="383">
      <c r="A383" s="5" t="n"/>
      <c r="B383" s="6" t="n"/>
      <c r="C383" s="5" t="n"/>
      <c r="D383" s="5" t="n"/>
      <c r="E383" s="7" t="n"/>
      <c r="F383" s="6" t="n"/>
      <c r="G383" s="6" t="n"/>
      <c r="H383" s="6" t="n"/>
      <c r="I383" s="6" t="n"/>
      <c r="J383" s="6" t="n"/>
      <c r="K383" s="7" t="n"/>
      <c r="L383" s="5" t="n"/>
      <c r="M383" s="5" t="n"/>
      <c r="N383" s="5" t="n"/>
    </row>
    <row r="384">
      <c r="A384" s="5" t="n"/>
      <c r="B384" s="6" t="n"/>
      <c r="C384" s="5" t="n"/>
      <c r="D384" s="5" t="n"/>
      <c r="E384" s="7" t="n"/>
      <c r="F384" s="6" t="n"/>
      <c r="G384" s="6" t="n"/>
      <c r="H384" s="6" t="n"/>
      <c r="I384" s="6" t="n"/>
      <c r="J384" s="6" t="n"/>
      <c r="K384" s="7" t="n"/>
      <c r="L384" s="5" t="n"/>
      <c r="M384" s="5" t="n"/>
      <c r="N384" s="5" t="n"/>
    </row>
    <row r="385">
      <c r="A385" s="5" t="n"/>
      <c r="B385" s="6" t="n"/>
      <c r="C385" s="5" t="n"/>
      <c r="D385" s="5" t="n"/>
      <c r="E385" s="7" t="n"/>
      <c r="F385" s="6" t="n"/>
      <c r="G385" s="6" t="n"/>
      <c r="H385" s="6" t="n"/>
      <c r="I385" s="6" t="n"/>
      <c r="J385" s="6" t="n"/>
      <c r="K385" s="7" t="n"/>
      <c r="L385" s="5" t="n"/>
      <c r="M385" s="5" t="n"/>
      <c r="N385" s="5" t="n"/>
    </row>
    <row r="386">
      <c r="A386" s="5" t="n"/>
      <c r="B386" s="6" t="n"/>
      <c r="C386" s="5" t="n"/>
      <c r="D386" s="5" t="n"/>
      <c r="E386" s="7" t="n"/>
      <c r="F386" s="6" t="n"/>
      <c r="G386" s="6" t="n"/>
      <c r="H386" s="6" t="n"/>
      <c r="I386" s="6" t="n"/>
      <c r="J386" s="6" t="n"/>
      <c r="K386" s="7" t="n"/>
      <c r="L386" s="5" t="n"/>
      <c r="M386" s="5" t="n"/>
      <c r="N386" s="5" t="n"/>
    </row>
    <row r="387">
      <c r="A387" s="5" t="n"/>
      <c r="B387" s="6" t="n"/>
      <c r="C387" s="5" t="n"/>
      <c r="D387" s="5" t="n"/>
      <c r="E387" s="7" t="n"/>
      <c r="F387" s="6" t="n"/>
      <c r="G387" s="6" t="n"/>
      <c r="H387" s="6" t="n"/>
      <c r="I387" s="6" t="n"/>
      <c r="J387" s="6" t="n"/>
      <c r="K387" s="7" t="n"/>
      <c r="L387" s="5" t="n"/>
      <c r="M387" s="5" t="n"/>
      <c r="N387" s="5" t="n"/>
    </row>
    <row r="388">
      <c r="A388" s="5" t="n"/>
      <c r="B388" s="6" t="n"/>
      <c r="C388" s="5" t="n"/>
      <c r="D388" s="5" t="n"/>
      <c r="E388" s="7" t="n"/>
      <c r="F388" s="6" t="n"/>
      <c r="G388" s="6" t="n"/>
      <c r="H388" s="6" t="n"/>
      <c r="I388" s="6" t="n"/>
      <c r="J388" s="6" t="n"/>
      <c r="K388" s="7" t="n"/>
      <c r="L388" s="5" t="n"/>
      <c r="M388" s="5" t="n"/>
      <c r="N388" s="5" t="n"/>
    </row>
    <row r="389">
      <c r="A389" s="5" t="n"/>
      <c r="B389" s="6" t="n"/>
      <c r="C389" s="5" t="n"/>
      <c r="D389" s="5" t="n"/>
      <c r="E389" s="7" t="n"/>
      <c r="F389" s="6" t="n"/>
      <c r="G389" s="6" t="n"/>
      <c r="H389" s="6" t="n"/>
      <c r="I389" s="6" t="n"/>
      <c r="J389" s="6" t="n"/>
      <c r="K389" s="7" t="n"/>
      <c r="L389" s="5" t="n"/>
      <c r="M389" s="5" t="n"/>
      <c r="N389" s="5" t="n"/>
    </row>
    <row r="390">
      <c r="A390" s="5" t="n"/>
      <c r="B390" s="6" t="n"/>
      <c r="C390" s="5" t="n"/>
      <c r="D390" s="5" t="n"/>
      <c r="E390" s="7" t="n"/>
      <c r="F390" s="6" t="n"/>
      <c r="G390" s="6" t="n"/>
      <c r="H390" s="6" t="n"/>
      <c r="I390" s="6" t="n"/>
      <c r="J390" s="6" t="n"/>
      <c r="K390" s="7" t="n"/>
      <c r="L390" s="5" t="n"/>
      <c r="M390" s="5" t="n"/>
      <c r="N390" s="5" t="n"/>
    </row>
    <row r="391">
      <c r="A391" s="5" t="n"/>
      <c r="B391" s="6" t="n"/>
      <c r="C391" s="5" t="n"/>
      <c r="D391" s="5" t="n"/>
      <c r="E391" s="7" t="n"/>
      <c r="F391" s="6" t="n"/>
      <c r="G391" s="6" t="n"/>
      <c r="H391" s="6" t="n"/>
      <c r="I391" s="6" t="n"/>
      <c r="J391" s="6" t="n"/>
      <c r="K391" s="7" t="n"/>
      <c r="L391" s="5" t="n"/>
      <c r="M391" s="5" t="n"/>
      <c r="N391" s="5" t="n"/>
    </row>
    <row r="392">
      <c r="A392" s="5" t="n"/>
      <c r="B392" s="6" t="n"/>
      <c r="C392" s="5" t="n"/>
      <c r="D392" s="5" t="n"/>
      <c r="E392" s="7" t="n"/>
      <c r="F392" s="6" t="n"/>
      <c r="G392" s="6" t="n"/>
      <c r="H392" s="6" t="n"/>
      <c r="I392" s="6" t="n"/>
      <c r="J392" s="6" t="n"/>
      <c r="K392" s="7" t="n"/>
      <c r="L392" s="5" t="n"/>
      <c r="M392" s="5" t="n"/>
      <c r="N392" s="5" t="n"/>
    </row>
    <row r="393">
      <c r="A393" s="5" t="n"/>
      <c r="B393" s="6" t="n"/>
      <c r="C393" s="5" t="n"/>
      <c r="D393" s="5" t="n"/>
      <c r="E393" s="7" t="n"/>
      <c r="F393" s="6" t="n"/>
      <c r="G393" s="6" t="n"/>
      <c r="H393" s="6" t="n"/>
      <c r="I393" s="6" t="n"/>
      <c r="J393" s="6" t="n"/>
      <c r="K393" s="7" t="n"/>
      <c r="L393" s="5" t="n"/>
      <c r="M393" s="5" t="n"/>
      <c r="N393" s="5" t="n"/>
    </row>
    <row r="394">
      <c r="A394" s="5" t="n"/>
      <c r="B394" s="6" t="n"/>
      <c r="C394" s="5" t="n"/>
      <c r="D394" s="5" t="n"/>
      <c r="E394" s="7" t="n"/>
      <c r="F394" s="6" t="n"/>
      <c r="G394" s="6" t="n"/>
      <c r="H394" s="6" t="n"/>
      <c r="I394" s="6" t="n"/>
      <c r="J394" s="6" t="n"/>
      <c r="K394" s="7" t="n"/>
      <c r="L394" s="5" t="n"/>
      <c r="M394" s="5" t="n"/>
      <c r="N394" s="5" t="n"/>
    </row>
    <row r="395">
      <c r="A395" s="5" t="n"/>
      <c r="B395" s="6" t="n"/>
      <c r="C395" s="5" t="n"/>
      <c r="D395" s="5" t="n"/>
      <c r="E395" s="7" t="n"/>
      <c r="F395" s="6" t="n"/>
      <c r="G395" s="6" t="n"/>
      <c r="H395" s="6" t="n"/>
      <c r="I395" s="6" t="n"/>
      <c r="J395" s="6" t="n"/>
      <c r="K395" s="7" t="n"/>
      <c r="L395" s="5" t="n"/>
      <c r="M395" s="5" t="n"/>
      <c r="N395" s="5" t="n"/>
    </row>
    <row r="396">
      <c r="A396" s="5" t="n"/>
      <c r="B396" s="6" t="n"/>
      <c r="C396" s="5" t="n"/>
      <c r="D396" s="5" t="n"/>
      <c r="E396" s="7" t="n"/>
      <c r="F396" s="6" t="n"/>
      <c r="G396" s="6" t="n"/>
      <c r="H396" s="6" t="n"/>
      <c r="I396" s="6" t="n"/>
      <c r="J396" s="6" t="n"/>
      <c r="K396" s="7" t="n"/>
      <c r="L396" s="5" t="n"/>
      <c r="M396" s="5" t="n"/>
      <c r="N396" s="5" t="n"/>
    </row>
    <row r="397">
      <c r="A397" s="5" t="n"/>
      <c r="B397" s="6" t="n"/>
      <c r="C397" s="5" t="n"/>
      <c r="D397" s="5" t="n"/>
      <c r="E397" s="7" t="n"/>
      <c r="F397" s="6" t="n"/>
      <c r="G397" s="6" t="n"/>
      <c r="H397" s="6" t="n"/>
      <c r="I397" s="6" t="n"/>
      <c r="J397" s="6" t="n"/>
      <c r="K397" s="7" t="n"/>
      <c r="L397" s="5" t="n"/>
      <c r="M397" s="5" t="n"/>
      <c r="N397" s="5" t="n"/>
    </row>
    <row r="398">
      <c r="A398" s="5" t="n"/>
      <c r="B398" s="6" t="n"/>
      <c r="C398" s="5" t="n"/>
      <c r="D398" s="5" t="n"/>
      <c r="E398" s="7" t="n"/>
      <c r="F398" s="6" t="n"/>
      <c r="G398" s="6" t="n"/>
      <c r="H398" s="6" t="n"/>
      <c r="I398" s="6" t="n"/>
      <c r="J398" s="6" t="n"/>
      <c r="K398" s="7" t="n"/>
      <c r="L398" s="5" t="n"/>
      <c r="M398" s="5" t="n"/>
      <c r="N398" s="5" t="n"/>
    </row>
    <row r="399">
      <c r="A399" s="5" t="n"/>
      <c r="B399" s="6" t="n"/>
      <c r="C399" s="5" t="n"/>
      <c r="D399" s="5" t="n"/>
      <c r="E399" s="7" t="n"/>
      <c r="F399" s="6" t="n"/>
      <c r="G399" s="6" t="n"/>
      <c r="H399" s="6" t="n"/>
      <c r="I399" s="6" t="n"/>
      <c r="J399" s="6" t="n"/>
      <c r="K399" s="7" t="n"/>
      <c r="L399" s="5" t="n"/>
      <c r="M399" s="5" t="n"/>
      <c r="N399" s="5" t="n"/>
    </row>
    <row r="400">
      <c r="A400" s="5" t="n"/>
      <c r="B400" s="6" t="n"/>
      <c r="C400" s="5" t="n"/>
      <c r="D400" s="5" t="n"/>
      <c r="E400" s="7" t="n"/>
      <c r="F400" s="6" t="n"/>
      <c r="G400" s="6" t="n"/>
      <c r="H400" s="6" t="n"/>
      <c r="I400" s="6" t="n"/>
      <c r="J400" s="6" t="n"/>
      <c r="K400" s="7" t="n"/>
      <c r="L400" s="5" t="n"/>
      <c r="M400" s="5" t="n"/>
      <c r="N400" s="5" t="n"/>
    </row>
    <row r="401">
      <c r="A401" s="5" t="n"/>
      <c r="B401" s="6" t="n"/>
      <c r="C401" s="5" t="n"/>
      <c r="D401" s="5" t="n"/>
      <c r="E401" s="7" t="n"/>
      <c r="F401" s="6" t="n"/>
      <c r="G401" s="6" t="n"/>
      <c r="H401" s="6" t="n"/>
      <c r="I401" s="6" t="n"/>
      <c r="J401" s="6" t="n"/>
      <c r="K401" s="7" t="n"/>
      <c r="L401" s="5" t="n"/>
      <c r="M401" s="5" t="n"/>
      <c r="N401" s="5" t="n"/>
    </row>
    <row r="402">
      <c r="A402" s="5" t="n"/>
      <c r="B402" s="6" t="n"/>
      <c r="C402" s="5" t="n"/>
      <c r="D402" s="5" t="n"/>
      <c r="E402" s="7" t="n"/>
      <c r="F402" s="6" t="n"/>
      <c r="G402" s="6" t="n"/>
      <c r="H402" s="6" t="n"/>
      <c r="I402" s="6" t="n"/>
      <c r="J402" s="6" t="n"/>
      <c r="K402" s="7" t="n"/>
      <c r="L402" s="5" t="n"/>
      <c r="M402" s="5" t="n"/>
      <c r="N402" s="5" t="n"/>
    </row>
    <row r="403">
      <c r="A403" s="5" t="n"/>
      <c r="B403" s="6" t="n"/>
      <c r="C403" s="5" t="n"/>
      <c r="D403" s="5" t="n"/>
      <c r="E403" s="7" t="n"/>
      <c r="F403" s="6" t="n"/>
      <c r="G403" s="6" t="n"/>
      <c r="H403" s="6" t="n"/>
      <c r="I403" s="6" t="n"/>
      <c r="J403" s="6" t="n"/>
      <c r="K403" s="7" t="n"/>
      <c r="L403" s="5" t="n"/>
      <c r="M403" s="5" t="n"/>
      <c r="N403" s="5" t="n"/>
    </row>
    <row r="404">
      <c r="A404" s="5" t="n"/>
      <c r="B404" s="6" t="n"/>
      <c r="C404" s="5" t="n"/>
      <c r="D404" s="5" t="n"/>
      <c r="E404" s="7" t="n"/>
      <c r="F404" s="6" t="n"/>
      <c r="G404" s="6" t="n"/>
      <c r="H404" s="6" t="n"/>
      <c r="I404" s="6" t="n"/>
      <c r="J404" s="6" t="n"/>
      <c r="K404" s="7" t="n"/>
      <c r="L404" s="5" t="n"/>
      <c r="M404" s="5" t="n"/>
      <c r="N404" s="5" t="n"/>
    </row>
    <row r="405">
      <c r="A405" s="5" t="n"/>
      <c r="B405" s="6" t="n"/>
      <c r="C405" s="5" t="n"/>
      <c r="D405" s="5" t="n"/>
      <c r="E405" s="7" t="n"/>
      <c r="F405" s="6" t="n"/>
      <c r="G405" s="6" t="n"/>
      <c r="H405" s="6" t="n"/>
      <c r="I405" s="6" t="n"/>
      <c r="J405" s="6" t="n"/>
      <c r="K405" s="7" t="n"/>
      <c r="L405" s="5" t="n"/>
      <c r="M405" s="5" t="n"/>
      <c r="N405" s="5" t="n"/>
    </row>
    <row r="406">
      <c r="A406" s="5" t="n"/>
      <c r="B406" s="6" t="n"/>
      <c r="C406" s="5" t="n"/>
      <c r="D406" s="5" t="n"/>
      <c r="E406" s="7" t="n"/>
      <c r="F406" s="6" t="n"/>
      <c r="G406" s="6" t="n"/>
      <c r="H406" s="6" t="n"/>
      <c r="I406" s="6" t="n"/>
      <c r="J406" s="6" t="n"/>
      <c r="K406" s="7" t="n"/>
      <c r="L406" s="5" t="n"/>
      <c r="M406" s="5" t="n"/>
      <c r="N406" s="5" t="n"/>
    </row>
    <row r="407">
      <c r="A407" s="5" t="n"/>
      <c r="B407" s="6" t="n"/>
      <c r="C407" s="5" t="n"/>
      <c r="D407" s="5" t="n"/>
      <c r="E407" s="7" t="n"/>
      <c r="F407" s="6" t="n"/>
      <c r="G407" s="6" t="n"/>
      <c r="H407" s="6" t="n"/>
      <c r="I407" s="6" t="n"/>
      <c r="J407" s="6" t="n"/>
      <c r="K407" s="7" t="n"/>
      <c r="L407" s="5" t="n"/>
      <c r="M407" s="5" t="n"/>
      <c r="N407" s="5" t="n"/>
    </row>
    <row r="408">
      <c r="A408" s="5" t="n"/>
      <c r="B408" s="6" t="n"/>
      <c r="C408" s="5" t="n"/>
      <c r="D408" s="5" t="n"/>
      <c r="E408" s="7" t="n"/>
      <c r="F408" s="6" t="n"/>
      <c r="G408" s="6" t="n"/>
      <c r="H408" s="6" t="n"/>
      <c r="I408" s="6" t="n"/>
      <c r="J408" s="6" t="n"/>
      <c r="K408" s="7" t="n"/>
      <c r="L408" s="5" t="n"/>
      <c r="M408" s="5" t="n"/>
      <c r="N408" s="5" t="n"/>
    </row>
    <row r="409">
      <c r="A409" s="5" t="n"/>
      <c r="B409" s="6" t="n"/>
      <c r="C409" s="5" t="n"/>
      <c r="D409" s="5" t="n"/>
      <c r="E409" s="7" t="n"/>
      <c r="F409" s="6" t="n"/>
      <c r="G409" s="6" t="n"/>
      <c r="H409" s="6" t="n"/>
      <c r="I409" s="6" t="n"/>
      <c r="J409" s="6" t="n"/>
      <c r="K409" s="7" t="n"/>
      <c r="L409" s="5" t="n"/>
      <c r="M409" s="5" t="n"/>
      <c r="N409" s="5" t="n"/>
    </row>
    <row r="410">
      <c r="A410" s="5" t="n"/>
      <c r="B410" s="6" t="n"/>
      <c r="C410" s="5" t="n"/>
      <c r="D410" s="5" t="n"/>
      <c r="E410" s="7" t="n"/>
      <c r="F410" s="6" t="n"/>
      <c r="G410" s="6" t="n"/>
      <c r="H410" s="6" t="n"/>
      <c r="I410" s="6" t="n"/>
      <c r="J410" s="6" t="n"/>
      <c r="K410" s="7" t="n"/>
      <c r="L410" s="5" t="n"/>
      <c r="M410" s="5" t="n"/>
      <c r="N410" s="5" t="n"/>
    </row>
    <row r="411">
      <c r="A411" s="5" t="n"/>
      <c r="B411" s="6" t="n"/>
      <c r="C411" s="5" t="n"/>
      <c r="D411" s="5" t="n"/>
      <c r="E411" s="7" t="n"/>
      <c r="F411" s="6" t="n"/>
      <c r="G411" s="6" t="n"/>
      <c r="H411" s="6" t="n"/>
      <c r="I411" s="6" t="n"/>
      <c r="J411" s="6" t="n"/>
      <c r="K411" s="7" t="n"/>
      <c r="L411" s="5" t="n"/>
      <c r="M411" s="5" t="n"/>
      <c r="N411" s="5" t="n"/>
    </row>
    <row r="412">
      <c r="A412" s="5" t="n"/>
      <c r="B412" s="6" t="n"/>
      <c r="C412" s="5" t="n"/>
      <c r="D412" s="5" t="n"/>
      <c r="E412" s="7" t="n"/>
      <c r="F412" s="6" t="n"/>
      <c r="G412" s="6" t="n"/>
      <c r="H412" s="6" t="n"/>
      <c r="I412" s="6" t="n"/>
      <c r="J412" s="6" t="n"/>
      <c r="K412" s="7" t="n"/>
      <c r="L412" s="5" t="n"/>
      <c r="M412" s="5" t="n"/>
      <c r="N412" s="5" t="n"/>
    </row>
    <row r="413">
      <c r="A413" s="5" t="n"/>
      <c r="B413" s="6" t="n"/>
      <c r="C413" s="5" t="n"/>
      <c r="D413" s="5" t="n"/>
      <c r="E413" s="7" t="n"/>
      <c r="F413" s="6" t="n"/>
      <c r="G413" s="6" t="n"/>
      <c r="H413" s="6" t="n"/>
      <c r="I413" s="6" t="n"/>
      <c r="J413" s="6" t="n"/>
      <c r="K413" s="7" t="n"/>
      <c r="L413" s="5" t="n"/>
      <c r="M413" s="5" t="n"/>
      <c r="N413" s="5" t="n"/>
    </row>
    <row r="414">
      <c r="A414" s="5" t="n"/>
      <c r="B414" s="6" t="n"/>
      <c r="C414" s="5" t="n"/>
      <c r="D414" s="5" t="n"/>
      <c r="E414" s="7" t="n"/>
      <c r="F414" s="6" t="n"/>
      <c r="G414" s="6" t="n"/>
      <c r="H414" s="6" t="n"/>
      <c r="I414" s="6" t="n"/>
      <c r="J414" s="6" t="n"/>
      <c r="K414" s="7" t="n"/>
      <c r="L414" s="5" t="n"/>
      <c r="M414" s="5" t="n"/>
      <c r="N414" s="5" t="n"/>
    </row>
    <row r="415">
      <c r="A415" s="5" t="n"/>
      <c r="B415" s="6" t="n"/>
      <c r="C415" s="5" t="n"/>
      <c r="D415" s="5" t="n"/>
      <c r="E415" s="7" t="n"/>
      <c r="F415" s="6" t="n"/>
      <c r="G415" s="6" t="n"/>
      <c r="H415" s="6" t="n"/>
      <c r="I415" s="6" t="n"/>
      <c r="J415" s="6" t="n"/>
      <c r="K415" s="7" t="n"/>
      <c r="L415" s="5" t="n"/>
      <c r="M415" s="5" t="n"/>
      <c r="N415" s="5" t="n"/>
    </row>
    <row r="416">
      <c r="A416" s="5" t="n"/>
      <c r="B416" s="6" t="n"/>
      <c r="C416" s="5" t="n"/>
      <c r="D416" s="5" t="n"/>
      <c r="E416" s="7" t="n"/>
      <c r="F416" s="6" t="n"/>
      <c r="G416" s="6" t="n"/>
      <c r="H416" s="6" t="n"/>
      <c r="I416" s="6" t="n"/>
      <c r="J416" s="6" t="n"/>
      <c r="K416" s="7" t="n"/>
      <c r="L416" s="5" t="n"/>
      <c r="M416" s="5" t="n"/>
      <c r="N416" s="5" t="n"/>
    </row>
    <row r="417">
      <c r="A417" s="5" t="n"/>
      <c r="B417" s="6" t="n"/>
      <c r="C417" s="5" t="n"/>
      <c r="D417" s="5" t="n"/>
      <c r="E417" s="7" t="n"/>
      <c r="F417" s="6" t="n"/>
      <c r="G417" s="6" t="n"/>
      <c r="H417" s="6" t="n"/>
      <c r="I417" s="6" t="n"/>
      <c r="J417" s="6" t="n"/>
      <c r="K417" s="7" t="n"/>
      <c r="L417" s="5" t="n"/>
      <c r="M417" s="5" t="n"/>
      <c r="N417" s="5" t="n"/>
    </row>
    <row r="418">
      <c r="A418" s="5" t="n"/>
      <c r="B418" s="6" t="n"/>
      <c r="C418" s="5" t="n"/>
      <c r="D418" s="5" t="n"/>
      <c r="E418" s="7" t="n"/>
      <c r="F418" s="6" t="n"/>
      <c r="G418" s="6" t="n"/>
      <c r="H418" s="6" t="n"/>
      <c r="I418" s="6" t="n"/>
      <c r="J418" s="6" t="n"/>
      <c r="K418" s="7" t="n"/>
      <c r="L418" s="5" t="n"/>
      <c r="M418" s="5" t="n"/>
      <c r="N418" s="5" t="n"/>
    </row>
    <row r="419">
      <c r="A419" s="5" t="n"/>
      <c r="B419" s="6" t="n"/>
      <c r="C419" s="5" t="n"/>
      <c r="D419" s="5" t="n"/>
      <c r="E419" s="7" t="n"/>
      <c r="F419" s="6" t="n"/>
      <c r="G419" s="6" t="n"/>
      <c r="H419" s="6" t="n"/>
      <c r="I419" s="6" t="n"/>
      <c r="J419" s="6" t="n"/>
      <c r="K419" s="7" t="n"/>
      <c r="L419" s="5" t="n"/>
      <c r="M419" s="5" t="n"/>
      <c r="N419" s="5" t="n"/>
    </row>
    <row r="420">
      <c r="A420" s="5" t="n"/>
      <c r="B420" s="6" t="n"/>
      <c r="C420" s="5" t="n"/>
      <c r="D420" s="5" t="n"/>
      <c r="E420" s="7" t="n"/>
      <c r="F420" s="6" t="n"/>
      <c r="G420" s="6" t="n"/>
      <c r="H420" s="6" t="n"/>
      <c r="I420" s="6" t="n"/>
      <c r="J420" s="6" t="n"/>
      <c r="K420" s="7" t="n"/>
      <c r="L420" s="5" t="n"/>
      <c r="M420" s="5" t="n"/>
      <c r="N420" s="5" t="n"/>
    </row>
    <row r="421">
      <c r="A421" s="5" t="n"/>
      <c r="B421" s="6" t="n"/>
      <c r="C421" s="5" t="n"/>
      <c r="D421" s="5" t="n"/>
      <c r="E421" s="7" t="n"/>
      <c r="F421" s="6" t="n"/>
      <c r="G421" s="6" t="n"/>
      <c r="H421" s="6" t="n"/>
      <c r="I421" s="6" t="n"/>
      <c r="J421" s="6" t="n"/>
      <c r="K421" s="7" t="n"/>
      <c r="L421" s="5" t="n"/>
      <c r="M421" s="5" t="n"/>
      <c r="N421" s="5" t="n"/>
    </row>
    <row r="422">
      <c r="A422" s="5" t="n"/>
      <c r="B422" s="6" t="n"/>
      <c r="C422" s="5" t="n"/>
      <c r="D422" s="5" t="n"/>
      <c r="E422" s="7" t="n"/>
      <c r="F422" s="6" t="n"/>
      <c r="G422" s="6" t="n"/>
      <c r="H422" s="6" t="n"/>
      <c r="I422" s="6" t="n"/>
      <c r="J422" s="6" t="n"/>
      <c r="K422" s="7" t="n"/>
      <c r="L422" s="5" t="n"/>
      <c r="M422" s="5" t="n"/>
      <c r="N422" s="5" t="n"/>
    </row>
    <row r="423">
      <c r="A423" s="5" t="n"/>
      <c r="B423" s="6" t="n"/>
      <c r="C423" s="5" t="n"/>
      <c r="D423" s="5" t="n"/>
      <c r="E423" s="7" t="n"/>
      <c r="F423" s="6" t="n"/>
      <c r="G423" s="6" t="n"/>
      <c r="H423" s="6" t="n"/>
      <c r="I423" s="6" t="n"/>
      <c r="J423" s="6" t="n"/>
      <c r="K423" s="7" t="n"/>
      <c r="L423" s="5" t="n"/>
      <c r="M423" s="5" t="n"/>
      <c r="N423" s="5" t="n"/>
    </row>
    <row r="424">
      <c r="A424" s="5" t="n"/>
      <c r="B424" s="6" t="n"/>
      <c r="C424" s="5" t="n"/>
      <c r="D424" s="5" t="n"/>
      <c r="E424" s="7" t="n"/>
      <c r="F424" s="6" t="n"/>
      <c r="G424" s="6" t="n"/>
      <c r="H424" s="6" t="n"/>
      <c r="I424" s="6" t="n"/>
      <c r="J424" s="6" t="n"/>
      <c r="K424" s="7" t="n"/>
      <c r="L424" s="5" t="n"/>
      <c r="M424" s="5" t="n"/>
      <c r="N424" s="5" t="n"/>
    </row>
    <row r="425">
      <c r="A425" s="5" t="n"/>
      <c r="B425" s="6" t="n"/>
      <c r="C425" s="5" t="n"/>
      <c r="D425" s="5" t="n"/>
      <c r="E425" s="7" t="n"/>
      <c r="F425" s="6" t="n"/>
      <c r="G425" s="6" t="n"/>
      <c r="H425" s="6" t="n"/>
      <c r="I425" s="6" t="n"/>
      <c r="J425" s="6" t="n"/>
      <c r="K425" s="7" t="n"/>
      <c r="L425" s="5" t="n"/>
      <c r="M425" s="5" t="n"/>
      <c r="N425" s="5" t="n"/>
    </row>
    <row r="426">
      <c r="A426" s="5" t="n"/>
      <c r="B426" s="6" t="n"/>
      <c r="C426" s="5" t="n"/>
      <c r="D426" s="5" t="n"/>
      <c r="E426" s="7" t="n"/>
      <c r="F426" s="6" t="n"/>
      <c r="G426" s="6" t="n"/>
      <c r="H426" s="6" t="n"/>
      <c r="I426" s="6" t="n"/>
      <c r="J426" s="6" t="n"/>
      <c r="K426" s="7" t="n"/>
      <c r="L426" s="5" t="n"/>
      <c r="M426" s="5" t="n"/>
      <c r="N426" s="5" t="n"/>
    </row>
    <row r="427">
      <c r="A427" s="5" t="n"/>
      <c r="B427" s="6" t="n"/>
      <c r="C427" s="5" t="n"/>
      <c r="D427" s="5" t="n"/>
      <c r="E427" s="7" t="n"/>
      <c r="F427" s="6" t="n"/>
      <c r="G427" s="6" t="n"/>
      <c r="H427" s="6" t="n"/>
      <c r="I427" s="6" t="n"/>
      <c r="J427" s="6" t="n"/>
      <c r="K427" s="7" t="n"/>
      <c r="L427" s="5" t="n"/>
      <c r="M427" s="5" t="n"/>
      <c r="N427" s="5" t="n"/>
    </row>
    <row r="428">
      <c r="A428" s="5" t="n"/>
      <c r="B428" s="6" t="n"/>
      <c r="C428" s="5" t="n"/>
      <c r="D428" s="5" t="n"/>
      <c r="E428" s="7" t="n"/>
      <c r="F428" s="6" t="n"/>
      <c r="G428" s="6" t="n"/>
      <c r="H428" s="6" t="n"/>
      <c r="I428" s="6" t="n"/>
      <c r="J428" s="6" t="n"/>
      <c r="K428" s="7" t="n"/>
      <c r="L428" s="5" t="n"/>
      <c r="M428" s="5" t="n"/>
      <c r="N428" s="5" t="n"/>
    </row>
    <row r="429">
      <c r="A429" s="5" t="n"/>
      <c r="B429" s="6" t="n"/>
      <c r="C429" s="5" t="n"/>
      <c r="D429" s="5" t="n"/>
      <c r="E429" s="7" t="n"/>
      <c r="F429" s="6" t="n"/>
      <c r="G429" s="6" t="n"/>
      <c r="H429" s="6" t="n"/>
      <c r="I429" s="6" t="n"/>
      <c r="J429" s="6" t="n"/>
      <c r="K429" s="7" t="n"/>
      <c r="L429" s="5" t="n"/>
      <c r="M429" s="5" t="n"/>
      <c r="N429" s="5" t="n"/>
    </row>
    <row r="430">
      <c r="A430" s="5" t="n"/>
      <c r="B430" s="6" t="n"/>
      <c r="C430" s="5" t="n"/>
      <c r="D430" s="5" t="n"/>
      <c r="E430" s="7" t="n"/>
      <c r="F430" s="6" t="n"/>
      <c r="G430" s="6" t="n"/>
      <c r="H430" s="6" t="n"/>
      <c r="I430" s="6" t="n"/>
      <c r="J430" s="6" t="n"/>
      <c r="K430" s="7" t="n"/>
      <c r="L430" s="5" t="n"/>
      <c r="M430" s="5" t="n"/>
      <c r="N430" s="5" t="n"/>
    </row>
    <row r="431">
      <c r="A431" s="5" t="n"/>
      <c r="B431" s="6" t="n"/>
      <c r="C431" s="5" t="n"/>
      <c r="D431" s="5" t="n"/>
      <c r="E431" s="7" t="n"/>
      <c r="F431" s="6" t="n"/>
      <c r="G431" s="6" t="n"/>
      <c r="H431" s="6" t="n"/>
      <c r="I431" s="6" t="n"/>
      <c r="J431" s="6" t="n"/>
      <c r="K431" s="7" t="n"/>
      <c r="L431" s="5" t="n"/>
      <c r="M431" s="5" t="n"/>
      <c r="N431" s="5" t="n"/>
    </row>
    <row r="432">
      <c r="A432" s="5" t="n"/>
      <c r="B432" s="6" t="n"/>
      <c r="C432" s="5" t="n"/>
      <c r="D432" s="5" t="n"/>
      <c r="E432" s="7" t="n"/>
      <c r="F432" s="6" t="n"/>
      <c r="G432" s="6" t="n"/>
      <c r="H432" s="6" t="n"/>
      <c r="I432" s="6" t="n"/>
      <c r="J432" s="6" t="n"/>
      <c r="K432" s="7" t="n"/>
      <c r="L432" s="5" t="n"/>
      <c r="M432" s="5" t="n"/>
      <c r="N432" s="5" t="n"/>
    </row>
    <row r="433">
      <c r="A433" s="5" t="n"/>
      <c r="B433" s="6" t="n"/>
      <c r="C433" s="5" t="n"/>
      <c r="D433" s="5" t="n"/>
      <c r="E433" s="7" t="n"/>
      <c r="F433" s="6" t="n"/>
      <c r="G433" s="6" t="n"/>
      <c r="H433" s="6" t="n"/>
      <c r="I433" s="6" t="n"/>
      <c r="J433" s="6" t="n"/>
      <c r="K433" s="7" t="n"/>
      <c r="L433" s="5" t="n"/>
      <c r="M433" s="5" t="n"/>
      <c r="N433" s="5" t="n"/>
    </row>
    <row r="434">
      <c r="A434" s="5" t="n"/>
      <c r="B434" s="6" t="n"/>
      <c r="C434" s="5" t="n"/>
      <c r="D434" s="5" t="n"/>
      <c r="E434" s="7" t="n"/>
      <c r="F434" s="6" t="n"/>
      <c r="G434" s="6" t="n"/>
      <c r="H434" s="6" t="n"/>
      <c r="I434" s="6" t="n"/>
      <c r="J434" s="6" t="n"/>
      <c r="K434" s="7" t="n"/>
      <c r="L434" s="5" t="n"/>
      <c r="M434" s="5" t="n"/>
      <c r="N434" s="5" t="n"/>
    </row>
    <row r="435">
      <c r="A435" s="5" t="n"/>
      <c r="B435" s="6" t="n"/>
      <c r="C435" s="5" t="n"/>
      <c r="D435" s="5" t="n"/>
      <c r="E435" s="7" t="n"/>
      <c r="F435" s="6" t="n"/>
      <c r="G435" s="6" t="n"/>
      <c r="H435" s="6" t="n"/>
      <c r="I435" s="6" t="n"/>
      <c r="J435" s="6" t="n"/>
      <c r="K435" s="7" t="n"/>
      <c r="L435" s="5" t="n"/>
      <c r="M435" s="5" t="n"/>
      <c r="N435" s="5" t="n"/>
    </row>
    <row r="436">
      <c r="A436" s="5" t="n"/>
      <c r="B436" s="6" t="n"/>
      <c r="C436" s="5" t="n"/>
      <c r="D436" s="5" t="n"/>
      <c r="E436" s="7" t="n"/>
      <c r="F436" s="6" t="n"/>
      <c r="G436" s="6" t="n"/>
      <c r="H436" s="6" t="n"/>
      <c r="I436" s="6" t="n"/>
      <c r="J436" s="6" t="n"/>
      <c r="K436" s="7" t="n"/>
      <c r="L436" s="5" t="n"/>
      <c r="M436" s="5" t="n"/>
      <c r="N436" s="5" t="n"/>
    </row>
    <row r="437">
      <c r="A437" s="5" t="n"/>
      <c r="B437" s="6" t="n"/>
      <c r="C437" s="5" t="n"/>
      <c r="D437" s="5" t="n"/>
      <c r="E437" s="7" t="n"/>
      <c r="F437" s="6" t="n"/>
      <c r="G437" s="6" t="n"/>
      <c r="H437" s="6" t="n"/>
      <c r="I437" s="6" t="n"/>
      <c r="J437" s="6" t="n"/>
      <c r="K437" s="7" t="n"/>
      <c r="L437" s="5" t="n"/>
      <c r="M437" s="5" t="n"/>
      <c r="N437" s="5" t="n"/>
    </row>
    <row r="438">
      <c r="A438" s="5" t="n"/>
      <c r="B438" s="6" t="n"/>
      <c r="C438" s="5" t="n"/>
      <c r="D438" s="5" t="n"/>
      <c r="E438" s="7" t="n"/>
      <c r="F438" s="6" t="n"/>
      <c r="G438" s="6" t="n"/>
      <c r="H438" s="6" t="n"/>
      <c r="I438" s="6" t="n"/>
      <c r="J438" s="6" t="n"/>
      <c r="K438" s="7" t="n"/>
      <c r="L438" s="5" t="n"/>
      <c r="M438" s="5" t="n"/>
      <c r="N438" s="5" t="n"/>
    </row>
    <row r="439">
      <c r="A439" s="5" t="n"/>
      <c r="B439" s="6" t="n"/>
      <c r="C439" s="5" t="n"/>
      <c r="D439" s="5" t="n"/>
      <c r="E439" s="7" t="n"/>
      <c r="F439" s="6" t="n"/>
      <c r="G439" s="6" t="n"/>
      <c r="H439" s="6" t="n"/>
      <c r="I439" s="6" t="n"/>
      <c r="J439" s="6" t="n"/>
      <c r="K439" s="7" t="n"/>
      <c r="L439" s="5" t="n"/>
      <c r="M439" s="5" t="n"/>
      <c r="N439" s="5" t="n"/>
    </row>
    <row r="440">
      <c r="A440" s="5" t="n"/>
      <c r="B440" s="6" t="n"/>
      <c r="C440" s="5" t="n"/>
      <c r="D440" s="5" t="n"/>
      <c r="E440" s="7" t="n"/>
      <c r="F440" s="6" t="n"/>
      <c r="G440" s="6" t="n"/>
      <c r="H440" s="6" t="n"/>
      <c r="I440" s="6" t="n"/>
      <c r="J440" s="6" t="n"/>
      <c r="K440" s="7" t="n"/>
      <c r="L440" s="5" t="n"/>
      <c r="M440" s="5" t="n"/>
      <c r="N440" s="5" t="n"/>
    </row>
    <row r="441">
      <c r="A441" s="5" t="n"/>
      <c r="B441" s="6" t="n"/>
      <c r="C441" s="5" t="n"/>
      <c r="D441" s="5" t="n"/>
      <c r="E441" s="7" t="n"/>
      <c r="F441" s="6" t="n"/>
      <c r="G441" s="6" t="n"/>
      <c r="H441" s="6" t="n"/>
      <c r="I441" s="6" t="n"/>
      <c r="J441" s="6" t="n"/>
      <c r="K441" s="7" t="n"/>
      <c r="L441" s="5" t="n"/>
      <c r="M441" s="5" t="n"/>
      <c r="N441" s="5" t="n"/>
    </row>
    <row r="442">
      <c r="A442" s="5" t="n"/>
      <c r="B442" s="6" t="n"/>
      <c r="C442" s="5" t="n"/>
      <c r="D442" s="5" t="n"/>
      <c r="E442" s="7" t="n"/>
      <c r="F442" s="6" t="n"/>
      <c r="G442" s="6" t="n"/>
      <c r="H442" s="6" t="n"/>
      <c r="I442" s="6" t="n"/>
      <c r="J442" s="6" t="n"/>
      <c r="K442" s="7" t="n"/>
      <c r="L442" s="5" t="n"/>
      <c r="M442" s="5" t="n"/>
      <c r="N442" s="5" t="n"/>
    </row>
    <row r="443">
      <c r="A443" s="5" t="n"/>
      <c r="B443" s="6" t="n"/>
      <c r="C443" s="5" t="n"/>
      <c r="D443" s="5" t="n"/>
      <c r="E443" s="7" t="n"/>
      <c r="F443" s="6" t="n"/>
      <c r="G443" s="6" t="n"/>
      <c r="H443" s="6" t="n"/>
      <c r="I443" s="6" t="n"/>
      <c r="J443" s="6" t="n"/>
      <c r="K443" s="7" t="n"/>
      <c r="L443" s="5" t="n"/>
      <c r="M443" s="5" t="n"/>
      <c r="N443" s="5" t="n"/>
    </row>
    <row r="444">
      <c r="A444" s="5" t="n"/>
      <c r="B444" s="6" t="n"/>
      <c r="C444" s="5" t="n"/>
      <c r="D444" s="5" t="n"/>
      <c r="E444" s="7" t="n"/>
      <c r="F444" s="6" t="n"/>
      <c r="G444" s="6" t="n"/>
      <c r="H444" s="6" t="n"/>
      <c r="I444" s="6" t="n"/>
      <c r="J444" s="6" t="n"/>
      <c r="K444" s="7" t="n"/>
      <c r="L444" s="5" t="n"/>
      <c r="M444" s="5" t="n"/>
      <c r="N444" s="5" t="n"/>
    </row>
    <row r="445">
      <c r="A445" s="5" t="n"/>
      <c r="B445" s="6" t="n"/>
      <c r="C445" s="5" t="n"/>
      <c r="D445" s="5" t="n"/>
      <c r="E445" s="7" t="n"/>
      <c r="F445" s="6" t="n"/>
      <c r="G445" s="6" t="n"/>
      <c r="H445" s="6" t="n"/>
      <c r="I445" s="6" t="n"/>
      <c r="J445" s="6" t="n"/>
      <c r="K445" s="7" t="n"/>
      <c r="L445" s="5" t="n"/>
      <c r="M445" s="5" t="n"/>
      <c r="N445" s="5" t="n"/>
    </row>
    <row r="446">
      <c r="A446" s="5" t="n"/>
      <c r="B446" s="6" t="n"/>
      <c r="C446" s="5" t="n"/>
      <c r="D446" s="5" t="n"/>
      <c r="E446" s="7" t="n"/>
      <c r="F446" s="6" t="n"/>
      <c r="G446" s="6" t="n"/>
      <c r="H446" s="6" t="n"/>
      <c r="I446" s="6" t="n"/>
      <c r="J446" s="6" t="n"/>
      <c r="K446" s="7" t="n"/>
      <c r="L446" s="5" t="n"/>
      <c r="M446" s="5" t="n"/>
      <c r="N446" s="5" t="n"/>
    </row>
    <row r="447">
      <c r="A447" s="5" t="n"/>
      <c r="B447" s="6" t="n"/>
      <c r="C447" s="5" t="n"/>
      <c r="D447" s="5" t="n"/>
      <c r="E447" s="7" t="n"/>
      <c r="F447" s="6" t="n"/>
      <c r="G447" s="6" t="n"/>
      <c r="H447" s="6" t="n"/>
      <c r="I447" s="6" t="n"/>
      <c r="J447" s="6" t="n"/>
      <c r="K447" s="7" t="n"/>
      <c r="L447" s="5" t="n"/>
      <c r="M447" s="5" t="n"/>
      <c r="N447" s="5" t="n"/>
    </row>
    <row r="448">
      <c r="A448" s="5" t="n"/>
      <c r="B448" s="6" t="n"/>
      <c r="C448" s="5" t="n"/>
      <c r="D448" s="5" t="n"/>
      <c r="E448" s="7" t="n"/>
      <c r="F448" s="6" t="n"/>
      <c r="G448" s="6" t="n"/>
      <c r="H448" s="6" t="n"/>
      <c r="I448" s="6" t="n"/>
      <c r="J448" s="6" t="n"/>
      <c r="K448" s="7" t="n"/>
      <c r="L448" s="5" t="n"/>
      <c r="M448" s="5" t="n"/>
      <c r="N448" s="5" t="n"/>
    </row>
    <row r="449">
      <c r="A449" s="5" t="n"/>
      <c r="B449" s="6" t="n"/>
      <c r="C449" s="5" t="n"/>
      <c r="D449" s="5" t="n"/>
      <c r="E449" s="7" t="n"/>
      <c r="F449" s="6" t="n"/>
      <c r="G449" s="6" t="n"/>
      <c r="H449" s="6" t="n"/>
      <c r="I449" s="6" t="n"/>
      <c r="J449" s="6" t="n"/>
      <c r="K449" s="7" t="n"/>
      <c r="L449" s="5" t="n"/>
      <c r="M449" s="5" t="n"/>
      <c r="N449" s="5" t="n"/>
    </row>
    <row r="450">
      <c r="A450" s="5" t="n"/>
      <c r="B450" s="6" t="n"/>
      <c r="C450" s="5" t="n"/>
      <c r="D450" s="5" t="n"/>
      <c r="E450" s="7" t="n"/>
      <c r="F450" s="6" t="n"/>
      <c r="G450" s="6" t="n"/>
      <c r="H450" s="6" t="n"/>
      <c r="I450" s="6" t="n"/>
      <c r="J450" s="6" t="n"/>
      <c r="K450" s="7" t="n"/>
      <c r="L450" s="5" t="n"/>
      <c r="M450" s="5" t="n"/>
      <c r="N450" s="5" t="n"/>
    </row>
    <row r="451">
      <c r="A451" s="5" t="n"/>
      <c r="B451" s="6" t="n"/>
      <c r="C451" s="5" t="n"/>
      <c r="D451" s="5" t="n"/>
      <c r="E451" s="7" t="n"/>
      <c r="F451" s="6" t="n"/>
      <c r="G451" s="6" t="n"/>
      <c r="H451" s="6" t="n"/>
      <c r="I451" s="6" t="n"/>
      <c r="J451" s="6" t="n"/>
      <c r="K451" s="7" t="n"/>
      <c r="L451" s="5" t="n"/>
      <c r="M451" s="5" t="n"/>
      <c r="N451" s="5" t="n"/>
    </row>
    <row r="452">
      <c r="A452" s="5" t="n"/>
      <c r="B452" s="6" t="n"/>
      <c r="C452" s="5" t="n"/>
      <c r="D452" s="5" t="n"/>
      <c r="E452" s="7" t="n"/>
      <c r="F452" s="6" t="n"/>
      <c r="G452" s="6" t="n"/>
      <c r="H452" s="6" t="n"/>
      <c r="I452" s="6" t="n"/>
      <c r="J452" s="6" t="n"/>
      <c r="K452" s="7" t="n"/>
      <c r="L452" s="5" t="n"/>
      <c r="M452" s="5" t="n"/>
      <c r="N452" s="5" t="n"/>
    </row>
    <row r="453">
      <c r="A453" s="5" t="n"/>
      <c r="B453" s="6" t="n"/>
      <c r="C453" s="5" t="n"/>
      <c r="D453" s="5" t="n"/>
      <c r="E453" s="7" t="n"/>
      <c r="F453" s="6" t="n"/>
      <c r="G453" s="6" t="n"/>
      <c r="H453" s="6" t="n"/>
      <c r="I453" s="6" t="n"/>
      <c r="J453" s="6" t="n"/>
      <c r="K453" s="7" t="n"/>
      <c r="L453" s="5" t="n"/>
      <c r="M453" s="5" t="n"/>
      <c r="N453" s="5" t="n"/>
    </row>
    <row r="454">
      <c r="A454" s="5" t="n"/>
      <c r="B454" s="6" t="n"/>
      <c r="C454" s="5" t="n"/>
      <c r="D454" s="5" t="n"/>
      <c r="E454" s="7" t="n"/>
      <c r="F454" s="6" t="n"/>
      <c r="G454" s="6" t="n"/>
      <c r="H454" s="6" t="n"/>
      <c r="I454" s="6" t="n"/>
      <c r="J454" s="6" t="n"/>
      <c r="K454" s="7" t="n"/>
      <c r="L454" s="5" t="n"/>
      <c r="M454" s="5" t="n"/>
      <c r="N454" s="5" t="n"/>
    </row>
    <row r="455">
      <c r="A455" s="5" t="n"/>
      <c r="B455" s="6" t="n"/>
      <c r="C455" s="5" t="n"/>
      <c r="D455" s="5" t="n"/>
      <c r="E455" s="7" t="n"/>
      <c r="F455" s="6" t="n"/>
      <c r="G455" s="6" t="n"/>
      <c r="H455" s="6" t="n"/>
      <c r="I455" s="6" t="n"/>
      <c r="J455" s="6" t="n"/>
      <c r="K455" s="7" t="n"/>
      <c r="L455" s="5" t="n"/>
      <c r="M455" s="5" t="n"/>
      <c r="N455" s="5" t="n"/>
    </row>
    <row r="456">
      <c r="A456" s="5" t="n"/>
      <c r="B456" s="6" t="n"/>
      <c r="C456" s="5" t="n"/>
      <c r="D456" s="5" t="n"/>
      <c r="E456" s="7" t="n"/>
      <c r="F456" s="6" t="n"/>
      <c r="G456" s="6" t="n"/>
      <c r="H456" s="6" t="n"/>
      <c r="I456" s="6" t="n"/>
      <c r="J456" s="6" t="n"/>
      <c r="K456" s="7" t="n"/>
      <c r="L456" s="5" t="n"/>
      <c r="M456" s="5" t="n"/>
      <c r="N456" s="5" t="n"/>
    </row>
    <row r="457">
      <c r="A457" s="5" t="n"/>
      <c r="B457" s="6" t="n"/>
      <c r="C457" s="5" t="n"/>
      <c r="D457" s="5" t="n"/>
      <c r="E457" s="7" t="n"/>
      <c r="F457" s="6" t="n"/>
      <c r="G457" s="6" t="n"/>
      <c r="H457" s="6" t="n"/>
      <c r="I457" s="6" t="n"/>
      <c r="J457" s="6" t="n"/>
      <c r="K457" s="7" t="n"/>
      <c r="L457" s="5" t="n"/>
      <c r="M457" s="5" t="n"/>
      <c r="N457" s="5" t="n"/>
    </row>
    <row r="458">
      <c r="A458" s="5" t="n"/>
      <c r="B458" s="6" t="n"/>
      <c r="C458" s="5" t="n"/>
      <c r="D458" s="5" t="n"/>
      <c r="E458" s="7" t="n"/>
      <c r="F458" s="6" t="n"/>
      <c r="G458" s="6" t="n"/>
      <c r="H458" s="6" t="n"/>
      <c r="I458" s="6" t="n"/>
      <c r="J458" s="6" t="n"/>
      <c r="K458" s="7" t="n"/>
      <c r="L458" s="5" t="n"/>
      <c r="M458" s="5" t="n"/>
      <c r="N458" s="5" t="n"/>
    </row>
    <row r="459">
      <c r="A459" s="5" t="n"/>
      <c r="B459" s="6" t="n"/>
      <c r="C459" s="5" t="n"/>
      <c r="D459" s="5" t="n"/>
      <c r="E459" s="7" t="n"/>
      <c r="F459" s="6" t="n"/>
      <c r="G459" s="6" t="n"/>
      <c r="H459" s="6" t="n"/>
      <c r="I459" s="6" t="n"/>
      <c r="J459" s="6" t="n"/>
      <c r="K459" s="7" t="n"/>
      <c r="L459" s="5" t="n"/>
      <c r="M459" s="5" t="n"/>
      <c r="N459" s="5" t="n"/>
    </row>
    <row r="460">
      <c r="A460" s="5" t="n"/>
      <c r="B460" s="6" t="n"/>
      <c r="C460" s="5" t="n"/>
      <c r="D460" s="5" t="n"/>
      <c r="E460" s="7" t="n"/>
      <c r="F460" s="6" t="n"/>
      <c r="G460" s="6" t="n"/>
      <c r="H460" s="6" t="n"/>
      <c r="I460" s="6" t="n"/>
      <c r="J460" s="6" t="n"/>
      <c r="K460" s="7" t="n"/>
      <c r="L460" s="5" t="n"/>
      <c r="M460" s="5" t="n"/>
      <c r="N460" s="5" t="n"/>
    </row>
    <row r="461">
      <c r="A461" s="5" t="n"/>
      <c r="B461" s="6" t="n"/>
      <c r="C461" s="5" t="n"/>
      <c r="D461" s="5" t="n"/>
      <c r="E461" s="7" t="n"/>
      <c r="F461" s="6" t="n"/>
      <c r="G461" s="6" t="n"/>
      <c r="H461" s="6" t="n"/>
      <c r="I461" s="6" t="n"/>
      <c r="J461" s="6" t="n"/>
      <c r="K461" s="7" t="n"/>
      <c r="L461" s="5" t="n"/>
      <c r="M461" s="5" t="n"/>
      <c r="N461" s="5" t="n"/>
    </row>
    <row r="462">
      <c r="A462" s="5" t="n"/>
      <c r="B462" s="6" t="n"/>
      <c r="C462" s="5" t="n"/>
      <c r="D462" s="5" t="n"/>
      <c r="E462" s="7" t="n"/>
      <c r="F462" s="6" t="n"/>
      <c r="G462" s="6" t="n"/>
      <c r="H462" s="6" t="n"/>
      <c r="I462" s="6" t="n"/>
      <c r="J462" s="6" t="n"/>
      <c r="K462" s="7" t="n"/>
      <c r="L462" s="5" t="n"/>
      <c r="M462" s="5" t="n"/>
      <c r="N462" s="5" t="n"/>
    </row>
    <row r="463">
      <c r="A463" s="5" t="n"/>
      <c r="B463" s="6" t="n"/>
      <c r="C463" s="5" t="n"/>
      <c r="D463" s="5" t="n"/>
      <c r="E463" s="7" t="n"/>
      <c r="F463" s="6" t="n"/>
      <c r="G463" s="6" t="n"/>
      <c r="H463" s="6" t="n"/>
      <c r="I463" s="6" t="n"/>
      <c r="J463" s="6" t="n"/>
      <c r="K463" s="7" t="n"/>
      <c r="L463" s="5" t="n"/>
      <c r="M463" s="5" t="n"/>
      <c r="N463" s="5" t="n"/>
    </row>
    <row r="464">
      <c r="A464" s="5" t="n"/>
      <c r="B464" s="6" t="n"/>
      <c r="C464" s="5" t="n"/>
      <c r="D464" s="5" t="n"/>
      <c r="E464" s="7" t="n"/>
      <c r="F464" s="6" t="n"/>
      <c r="G464" s="6" t="n"/>
      <c r="H464" s="6" t="n"/>
      <c r="I464" s="6" t="n"/>
      <c r="J464" s="6" t="n"/>
      <c r="K464" s="7" t="n"/>
      <c r="L464" s="5" t="n"/>
      <c r="M464" s="5" t="n"/>
      <c r="N464" s="5" t="n"/>
    </row>
    <row r="465">
      <c r="A465" s="5" t="n"/>
      <c r="B465" s="6" t="n"/>
      <c r="C465" s="5" t="n"/>
      <c r="D465" s="5" t="n"/>
      <c r="E465" s="7" t="n"/>
      <c r="F465" s="6" t="n"/>
      <c r="G465" s="6" t="n"/>
      <c r="H465" s="6" t="n"/>
      <c r="I465" s="6" t="n"/>
      <c r="J465" s="6" t="n"/>
      <c r="K465" s="7" t="n"/>
      <c r="L465" s="5" t="n"/>
      <c r="M465" s="5" t="n"/>
      <c r="N465" s="5" t="n"/>
    </row>
    <row r="466">
      <c r="A466" s="5" t="n"/>
      <c r="B466" s="6" t="n"/>
      <c r="C466" s="5" t="n"/>
      <c r="D466" s="5" t="n"/>
      <c r="E466" s="7" t="n"/>
      <c r="F466" s="6" t="n"/>
      <c r="G466" s="6" t="n"/>
      <c r="H466" s="6" t="n"/>
      <c r="I466" s="6" t="n"/>
      <c r="J466" s="6" t="n"/>
      <c r="K466" s="7" t="n"/>
      <c r="L466" s="5" t="n"/>
      <c r="M466" s="5" t="n"/>
      <c r="N466" s="5" t="n"/>
    </row>
    <row r="467">
      <c r="A467" s="5" t="n"/>
      <c r="B467" s="6" t="n"/>
      <c r="C467" s="5" t="n"/>
      <c r="D467" s="5" t="n"/>
      <c r="E467" s="7" t="n"/>
      <c r="F467" s="6" t="n"/>
      <c r="G467" s="6" t="n"/>
      <c r="H467" s="6" t="n"/>
      <c r="I467" s="6" t="n"/>
      <c r="J467" s="6" t="n"/>
      <c r="K467" s="7" t="n"/>
      <c r="L467" s="5" t="n"/>
      <c r="M467" s="5" t="n"/>
      <c r="N467" s="5" t="n"/>
    </row>
    <row r="468">
      <c r="A468" s="5" t="n"/>
      <c r="B468" s="6" t="n"/>
      <c r="C468" s="5" t="n"/>
      <c r="D468" s="5" t="n"/>
      <c r="E468" s="7" t="n"/>
      <c r="F468" s="6" t="n"/>
      <c r="G468" s="6" t="n"/>
      <c r="H468" s="6" t="n"/>
      <c r="I468" s="6" t="n"/>
      <c r="J468" s="6" t="n"/>
      <c r="K468" s="7" t="n"/>
      <c r="L468" s="5" t="n"/>
      <c r="M468" s="5" t="n"/>
      <c r="N468" s="5" t="n"/>
    </row>
    <row r="469">
      <c r="A469" s="5" t="n"/>
      <c r="B469" s="6" t="n"/>
      <c r="C469" s="5" t="n"/>
      <c r="D469" s="5" t="n"/>
      <c r="E469" s="7" t="n"/>
      <c r="F469" s="6" t="n"/>
      <c r="G469" s="6" t="n"/>
      <c r="H469" s="6" t="n"/>
      <c r="I469" s="6" t="n"/>
      <c r="J469" s="6" t="n"/>
      <c r="K469" s="7" t="n"/>
      <c r="L469" s="5" t="n"/>
      <c r="M469" s="5" t="n"/>
      <c r="N469" s="5" t="n"/>
    </row>
    <row r="470">
      <c r="A470" s="5" t="n"/>
      <c r="B470" s="6" t="n"/>
      <c r="C470" s="5" t="n"/>
      <c r="D470" s="5" t="n"/>
      <c r="E470" s="7" t="n"/>
      <c r="F470" s="6" t="n"/>
      <c r="G470" s="6" t="n"/>
      <c r="H470" s="6" t="n"/>
      <c r="I470" s="6" t="n"/>
      <c r="J470" s="6" t="n"/>
      <c r="K470" s="7" t="n"/>
      <c r="L470" s="5" t="n"/>
      <c r="M470" s="5" t="n"/>
      <c r="N470" s="5" t="n"/>
    </row>
    <row r="471">
      <c r="A471" s="5" t="n"/>
      <c r="B471" s="6" t="n"/>
      <c r="C471" s="5" t="n"/>
      <c r="D471" s="5" t="n"/>
      <c r="E471" s="7" t="n"/>
      <c r="F471" s="6" t="n"/>
      <c r="G471" s="6" t="n"/>
      <c r="H471" s="6" t="n"/>
      <c r="I471" s="6" t="n"/>
      <c r="J471" s="6" t="n"/>
      <c r="K471" s="7" t="n"/>
      <c r="L471" s="5" t="n"/>
      <c r="M471" s="5" t="n"/>
      <c r="N471" s="5" t="n"/>
    </row>
    <row r="472">
      <c r="A472" s="5" t="n"/>
      <c r="B472" s="6" t="n"/>
      <c r="C472" s="5" t="n"/>
      <c r="D472" s="5" t="n"/>
      <c r="E472" s="7" t="n"/>
      <c r="F472" s="6" t="n"/>
      <c r="G472" s="6" t="n"/>
      <c r="H472" s="6" t="n"/>
      <c r="I472" s="6" t="n"/>
      <c r="J472" s="6" t="n"/>
      <c r="K472" s="7" t="n"/>
      <c r="L472" s="5" t="n"/>
      <c r="M472" s="5" t="n"/>
      <c r="N472" s="5" t="n"/>
    </row>
    <row r="473">
      <c r="A473" s="5" t="n"/>
      <c r="B473" s="6" t="n"/>
      <c r="C473" s="5" t="n"/>
      <c r="D473" s="5" t="n"/>
      <c r="E473" s="7" t="n"/>
      <c r="F473" s="6" t="n"/>
      <c r="G473" s="6" t="n"/>
      <c r="H473" s="6" t="n"/>
      <c r="I473" s="6" t="n"/>
      <c r="J473" s="6" t="n"/>
      <c r="K473" s="7" t="n"/>
      <c r="L473" s="5" t="n"/>
      <c r="M473" s="5" t="n"/>
      <c r="N473" s="5" t="n"/>
    </row>
    <row r="474">
      <c r="A474" s="5" t="n"/>
      <c r="B474" s="6" t="n"/>
      <c r="C474" s="5" t="n"/>
      <c r="D474" s="5" t="n"/>
      <c r="E474" s="7" t="n"/>
      <c r="F474" s="6" t="n"/>
      <c r="G474" s="6" t="n"/>
      <c r="H474" s="6" t="n"/>
      <c r="I474" s="6" t="n"/>
      <c r="J474" s="6" t="n"/>
      <c r="K474" s="7" t="n"/>
      <c r="L474" s="5" t="n"/>
      <c r="M474" s="5" t="n"/>
      <c r="N474" s="5" t="n"/>
    </row>
    <row r="475">
      <c r="A475" s="5" t="n"/>
      <c r="B475" s="6" t="n"/>
      <c r="C475" s="5" t="n"/>
      <c r="D475" s="5" t="n"/>
      <c r="E475" s="7" t="n"/>
      <c r="F475" s="6" t="n"/>
      <c r="G475" s="6" t="n"/>
      <c r="H475" s="6" t="n"/>
      <c r="I475" s="6" t="n"/>
      <c r="J475" s="6" t="n"/>
      <c r="K475" s="7" t="n"/>
      <c r="L475" s="5" t="n"/>
      <c r="M475" s="5" t="n"/>
      <c r="N475" s="5" t="n"/>
    </row>
    <row r="476">
      <c r="A476" s="5" t="n"/>
      <c r="B476" s="6" t="n"/>
      <c r="C476" s="5" t="n"/>
      <c r="D476" s="5" t="n"/>
      <c r="E476" s="7" t="n"/>
      <c r="F476" s="6" t="n"/>
      <c r="G476" s="6" t="n"/>
      <c r="H476" s="6" t="n"/>
      <c r="I476" s="6" t="n"/>
      <c r="J476" s="6" t="n"/>
      <c r="K476" s="7" t="n"/>
      <c r="L476" s="5" t="n"/>
      <c r="M476" s="5" t="n"/>
      <c r="N476" s="5" t="n"/>
    </row>
    <row r="477">
      <c r="A477" s="5" t="n"/>
      <c r="B477" s="6" t="n"/>
      <c r="C477" s="5" t="n"/>
      <c r="D477" s="5" t="n"/>
      <c r="E477" s="7" t="n"/>
      <c r="F477" s="6" t="n"/>
      <c r="G477" s="6" t="n"/>
      <c r="H477" s="6" t="n"/>
      <c r="I477" s="6" t="n"/>
      <c r="J477" s="6" t="n"/>
      <c r="K477" s="7" t="n"/>
      <c r="L477" s="5" t="n"/>
      <c r="M477" s="5" t="n"/>
      <c r="N477" s="5" t="n"/>
    </row>
    <row r="478">
      <c r="A478" s="5" t="n"/>
      <c r="B478" s="6" t="n"/>
      <c r="C478" s="5" t="n"/>
      <c r="D478" s="5" t="n"/>
      <c r="E478" s="7" t="n"/>
      <c r="F478" s="6" t="n"/>
      <c r="G478" s="6" t="n"/>
      <c r="H478" s="6" t="n"/>
      <c r="I478" s="6" t="n"/>
      <c r="J478" s="6" t="n"/>
      <c r="K478" s="7" t="n"/>
      <c r="L478" s="5" t="n"/>
      <c r="M478" s="5" t="n"/>
      <c r="N478" s="5" t="n"/>
    </row>
    <row r="479">
      <c r="A479" s="5" t="n"/>
      <c r="B479" s="6" t="n"/>
      <c r="C479" s="5" t="n"/>
      <c r="D479" s="5" t="n"/>
      <c r="E479" s="7" t="n"/>
      <c r="F479" s="6" t="n"/>
      <c r="G479" s="6" t="n"/>
      <c r="H479" s="6" t="n"/>
      <c r="I479" s="6" t="n"/>
      <c r="J479" s="6" t="n"/>
      <c r="K479" s="7" t="n"/>
      <c r="L479" s="5" t="n"/>
      <c r="M479" s="5" t="n"/>
      <c r="N479" s="5" t="n"/>
    </row>
    <row r="480">
      <c r="A480" s="5" t="n"/>
      <c r="B480" s="6" t="n"/>
      <c r="C480" s="5" t="n"/>
      <c r="D480" s="5" t="n"/>
      <c r="E480" s="7" t="n"/>
      <c r="F480" s="6" t="n"/>
      <c r="G480" s="6" t="n"/>
      <c r="H480" s="6" t="n"/>
      <c r="I480" s="6" t="n"/>
      <c r="J480" s="6" t="n"/>
      <c r="K480" s="7" t="n"/>
      <c r="L480" s="5" t="n"/>
      <c r="M480" s="5" t="n"/>
      <c r="N480" s="5" t="n"/>
    </row>
    <row r="481">
      <c r="A481" s="5" t="n"/>
      <c r="B481" s="6" t="n"/>
      <c r="C481" s="5" t="n"/>
      <c r="D481" s="5" t="n"/>
      <c r="E481" s="7" t="n"/>
      <c r="F481" s="6" t="n"/>
      <c r="G481" s="6" t="n"/>
      <c r="H481" s="6" t="n"/>
      <c r="I481" s="6" t="n"/>
      <c r="J481" s="6" t="n"/>
      <c r="K481" s="7" t="n"/>
      <c r="L481" s="5" t="n"/>
      <c r="M481" s="5" t="n"/>
      <c r="N481" s="5" t="n"/>
    </row>
    <row r="482">
      <c r="A482" s="5" t="n"/>
      <c r="B482" s="6" t="n"/>
      <c r="C482" s="5" t="n"/>
      <c r="D482" s="5" t="n"/>
      <c r="E482" s="7" t="n"/>
      <c r="F482" s="6" t="n"/>
      <c r="G482" s="6" t="n"/>
      <c r="H482" s="6" t="n"/>
      <c r="I482" s="6" t="n"/>
      <c r="J482" s="6" t="n"/>
      <c r="K482" s="7" t="n"/>
      <c r="L482" s="5" t="n"/>
      <c r="M482" s="5" t="n"/>
      <c r="N482" s="5" t="n"/>
    </row>
    <row r="483">
      <c r="A483" s="5" t="n"/>
      <c r="B483" s="6" t="n"/>
      <c r="C483" s="5" t="n"/>
      <c r="D483" s="5" t="n"/>
      <c r="E483" s="7" t="n"/>
      <c r="F483" s="6" t="n"/>
      <c r="G483" s="6" t="n"/>
      <c r="H483" s="6" t="n"/>
      <c r="I483" s="6" t="n"/>
      <c r="J483" s="6" t="n"/>
      <c r="K483" s="7" t="n"/>
      <c r="L483" s="5" t="n"/>
      <c r="M483" s="5" t="n"/>
      <c r="N483" s="5" t="n"/>
    </row>
    <row r="484">
      <c r="A484" s="5" t="n"/>
      <c r="B484" s="6" t="n"/>
      <c r="C484" s="5" t="n"/>
      <c r="D484" s="5" t="n"/>
      <c r="E484" s="7" t="n"/>
      <c r="F484" s="6" t="n"/>
      <c r="G484" s="6" t="n"/>
      <c r="H484" s="6" t="n"/>
      <c r="I484" s="6" t="n"/>
      <c r="J484" s="6" t="n"/>
      <c r="K484" s="7" t="n"/>
      <c r="L484" s="5" t="n"/>
      <c r="M484" s="5" t="n"/>
      <c r="N484" s="5" t="n"/>
    </row>
    <row r="485">
      <c r="A485" s="5" t="n"/>
      <c r="B485" s="6" t="n"/>
      <c r="C485" s="5" t="n"/>
      <c r="D485" s="5" t="n"/>
      <c r="E485" s="7" t="n"/>
      <c r="F485" s="6" t="n"/>
      <c r="G485" s="6" t="n"/>
      <c r="H485" s="6" t="n"/>
      <c r="I485" s="6" t="n"/>
      <c r="J485" s="6" t="n"/>
      <c r="K485" s="7" t="n"/>
      <c r="L485" s="5" t="n"/>
      <c r="M485" s="5" t="n"/>
      <c r="N485" s="5" t="n"/>
    </row>
    <row r="486">
      <c r="A486" s="5" t="n"/>
      <c r="B486" s="6" t="n"/>
      <c r="C486" s="5" t="n"/>
      <c r="D486" s="5" t="n"/>
      <c r="E486" s="7" t="n"/>
      <c r="F486" s="6" t="n"/>
      <c r="G486" s="6" t="n"/>
      <c r="H486" s="6" t="n"/>
      <c r="I486" s="6" t="n"/>
      <c r="J486" s="6" t="n"/>
      <c r="K486" s="7" t="n"/>
      <c r="L486" s="5" t="n"/>
      <c r="M486" s="5" t="n"/>
      <c r="N486" s="5" t="n"/>
    </row>
    <row r="487">
      <c r="A487" s="5" t="n"/>
      <c r="B487" s="6" t="n"/>
      <c r="C487" s="5" t="n"/>
      <c r="D487" s="5" t="n"/>
      <c r="E487" s="7" t="n"/>
      <c r="F487" s="6" t="n"/>
      <c r="G487" s="6" t="n"/>
      <c r="H487" s="6" t="n"/>
      <c r="I487" s="6" t="n"/>
      <c r="J487" s="6" t="n"/>
      <c r="K487" s="7" t="n"/>
      <c r="L487" s="5" t="n"/>
      <c r="M487" s="5" t="n"/>
      <c r="N487" s="5" t="n"/>
    </row>
    <row r="488">
      <c r="A488" s="5" t="n"/>
      <c r="B488" s="6" t="n"/>
      <c r="C488" s="5" t="n"/>
      <c r="D488" s="5" t="n"/>
      <c r="E488" s="7" t="n"/>
      <c r="F488" s="6" t="n"/>
      <c r="G488" s="6" t="n"/>
      <c r="H488" s="6" t="n"/>
      <c r="I488" s="6" t="n"/>
      <c r="J488" s="6" t="n"/>
      <c r="K488" s="7" t="n"/>
      <c r="L488" s="5" t="n"/>
      <c r="M488" s="5" t="n"/>
      <c r="N488" s="5" t="n"/>
    </row>
    <row r="489">
      <c r="A489" s="5" t="n"/>
      <c r="B489" s="6" t="n"/>
      <c r="C489" s="5" t="n"/>
      <c r="D489" s="5" t="n"/>
      <c r="E489" s="7" t="n"/>
      <c r="F489" s="6" t="n"/>
      <c r="G489" s="6" t="n"/>
      <c r="H489" s="6" t="n"/>
      <c r="I489" s="6" t="n"/>
      <c r="J489" s="6" t="n"/>
      <c r="K489" s="7" t="n"/>
      <c r="L489" s="5" t="n"/>
      <c r="M489" s="5" t="n"/>
      <c r="N489" s="5" t="n"/>
    </row>
    <row r="490">
      <c r="A490" s="5" t="n"/>
      <c r="B490" s="6" t="n"/>
      <c r="C490" s="5" t="n"/>
      <c r="D490" s="5" t="n"/>
      <c r="E490" s="7" t="n"/>
      <c r="F490" s="6" t="n"/>
      <c r="G490" s="6" t="n"/>
      <c r="H490" s="6" t="n"/>
      <c r="I490" s="6" t="n"/>
      <c r="J490" s="6" t="n"/>
      <c r="K490" s="7" t="n"/>
      <c r="L490" s="5" t="n"/>
      <c r="M490" s="5" t="n"/>
      <c r="N490" s="5" t="n"/>
    </row>
    <row r="491">
      <c r="A491" s="5" t="n"/>
      <c r="B491" s="6" t="n"/>
      <c r="C491" s="5" t="n"/>
      <c r="D491" s="5" t="n"/>
      <c r="E491" s="7" t="n"/>
      <c r="F491" s="6" t="n"/>
      <c r="G491" s="6" t="n"/>
      <c r="H491" s="6" t="n"/>
      <c r="I491" s="6" t="n"/>
      <c r="J491" s="6" t="n"/>
      <c r="K491" s="7" t="n"/>
      <c r="L491" s="5" t="n"/>
      <c r="M491" s="5" t="n"/>
      <c r="N491" s="5" t="n"/>
    </row>
    <row r="492">
      <c r="A492" s="5" t="n"/>
      <c r="B492" s="6" t="n"/>
      <c r="C492" s="5" t="n"/>
      <c r="D492" s="5" t="n"/>
      <c r="E492" s="7" t="n"/>
      <c r="F492" s="6" t="n"/>
      <c r="G492" s="6" t="n"/>
      <c r="H492" s="6" t="n"/>
      <c r="I492" s="6" t="n"/>
      <c r="J492" s="6" t="n"/>
      <c r="K492" s="7" t="n"/>
      <c r="L492" s="5" t="n"/>
      <c r="M492" s="5" t="n"/>
      <c r="N492" s="5" t="n"/>
    </row>
    <row r="493">
      <c r="A493" s="5" t="n"/>
      <c r="B493" s="6" t="n"/>
      <c r="C493" s="5" t="n"/>
      <c r="D493" s="5" t="n"/>
      <c r="E493" s="7" t="n"/>
      <c r="F493" s="6" t="n"/>
      <c r="G493" s="6" t="n"/>
      <c r="H493" s="6" t="n"/>
      <c r="I493" s="6" t="n"/>
      <c r="J493" s="6" t="n"/>
      <c r="K493" s="7" t="n"/>
      <c r="L493" s="5" t="n"/>
      <c r="M493" s="5" t="n"/>
      <c r="N493" s="5" t="n"/>
    </row>
    <row r="494">
      <c r="A494" s="5" t="n"/>
      <c r="B494" s="6" t="n"/>
      <c r="C494" s="5" t="n"/>
      <c r="D494" s="5" t="n"/>
      <c r="E494" s="7" t="n"/>
      <c r="F494" s="6" t="n"/>
      <c r="G494" s="6" t="n"/>
      <c r="H494" s="6" t="n"/>
      <c r="I494" s="6" t="n"/>
      <c r="J494" s="6" t="n"/>
      <c r="K494" s="7" t="n"/>
      <c r="L494" s="5" t="n"/>
      <c r="M494" s="5" t="n"/>
      <c r="N494" s="5" t="n"/>
    </row>
    <row r="495">
      <c r="A495" s="5" t="n"/>
      <c r="B495" s="6" t="n"/>
      <c r="C495" s="5" t="n"/>
      <c r="D495" s="5" t="n"/>
      <c r="E495" s="7" t="n"/>
      <c r="F495" s="6" t="n"/>
      <c r="G495" s="6" t="n"/>
      <c r="H495" s="6" t="n"/>
      <c r="I495" s="6" t="n"/>
      <c r="J495" s="6" t="n"/>
      <c r="K495" s="7" t="n"/>
      <c r="L495" s="5" t="n"/>
      <c r="M495" s="5" t="n"/>
      <c r="N495" s="5" t="n"/>
    </row>
    <row r="496">
      <c r="A496" s="5" t="n"/>
      <c r="B496" s="6" t="n"/>
      <c r="C496" s="5" t="n"/>
      <c r="D496" s="5" t="n"/>
      <c r="E496" s="7" t="n"/>
      <c r="F496" s="6" t="n"/>
      <c r="G496" s="6" t="n"/>
      <c r="H496" s="6" t="n"/>
      <c r="I496" s="6" t="n"/>
      <c r="J496" s="6" t="n"/>
      <c r="K496" s="7" t="n"/>
      <c r="L496" s="5" t="n"/>
      <c r="M496" s="5" t="n"/>
      <c r="N496" s="5" t="n"/>
    </row>
    <row r="497">
      <c r="A497" s="5" t="n"/>
      <c r="B497" s="6" t="n"/>
      <c r="C497" s="5" t="n"/>
      <c r="D497" s="5" t="n"/>
      <c r="E497" s="7" t="n"/>
      <c r="F497" s="6" t="n"/>
      <c r="G497" s="6" t="n"/>
      <c r="H497" s="6" t="n"/>
      <c r="I497" s="6" t="n"/>
      <c r="J497" s="6" t="n"/>
      <c r="K497" s="7" t="n"/>
      <c r="L497" s="5" t="n"/>
      <c r="M497" s="5" t="n"/>
      <c r="N497" s="5" t="n"/>
    </row>
    <row r="498">
      <c r="A498" s="5" t="n"/>
      <c r="B498" s="6" t="n"/>
      <c r="C498" s="5" t="n"/>
      <c r="D498" s="5" t="n"/>
      <c r="E498" s="7" t="n"/>
      <c r="F498" s="6" t="n"/>
      <c r="G498" s="6" t="n"/>
      <c r="H498" s="6" t="n"/>
      <c r="I498" s="6" t="n"/>
      <c r="J498" s="6" t="n"/>
      <c r="K498" s="7" t="n"/>
      <c r="L498" s="5" t="n"/>
      <c r="M498" s="5" t="n"/>
      <c r="N498" s="5" t="n"/>
    </row>
    <row r="499">
      <c r="A499" s="5" t="n"/>
      <c r="B499" s="6" t="n"/>
      <c r="C499" s="5" t="n"/>
      <c r="D499" s="5" t="n"/>
      <c r="E499" s="7" t="n"/>
      <c r="F499" s="6" t="n"/>
      <c r="G499" s="6" t="n"/>
      <c r="H499" s="6" t="n"/>
      <c r="I499" s="6" t="n"/>
      <c r="J499" s="6" t="n"/>
      <c r="K499" s="7" t="n"/>
      <c r="L499" s="5" t="n"/>
      <c r="M499" s="5" t="n"/>
      <c r="N499" s="5" t="n"/>
    </row>
    <row r="500">
      <c r="A500" s="5" t="n"/>
      <c r="B500" s="6" t="n"/>
      <c r="C500" s="5" t="n"/>
      <c r="D500" s="5" t="n"/>
      <c r="E500" s="7" t="n"/>
      <c r="F500" s="6" t="n"/>
      <c r="G500" s="6" t="n"/>
      <c r="H500" s="6" t="n"/>
      <c r="I500" s="6" t="n"/>
      <c r="J500" s="6" t="n"/>
      <c r="K500" s="7" t="n"/>
      <c r="L500" s="5" t="n"/>
      <c r="M500" s="5" t="n"/>
      <c r="N500" s="5" t="n"/>
    </row>
  </sheetData>
  <autoFilter ref="A1:N500"/>
  <conditionalFormatting sqref="D2:D500">
    <cfRule type="cellIs" priority="1" operator="equal" dxfId="0">
      <formula>"Critical"</formula>
    </cfRule>
    <cfRule type="cellIs" priority="2" operator="equal" dxfId="1">
      <formula>"High"</formula>
    </cfRule>
  </conditionalFormatting>
  <conditionalFormatting sqref="N2:N500">
    <cfRule type="cellIs" priority="3" operator="equal" dxfId="2">
      <formula>"Yes"</formula>
    </cfRule>
    <cfRule type="cellIs" priority="4" operator="equal" dxfId="0">
      <formula>"Blocked"</formula>
    </cfRule>
    <cfRule type="cellIs" priority="5" operator="equal" dxfId="3">
      <formula>"In Progress"</formula>
    </cfRule>
  </conditionalFormatting>
  <conditionalFormatting sqref="A2:N500">
    <cfRule type="expression" priority="6" dxfId="4">
      <formula>$N2="Yes"</formula>
    </cfRule>
  </conditionalFormatting>
  <dataValidations count="6">
    <dataValidation sqref="C2:C500" showDropDown="0" showInputMessage="0" showErrorMessage="0" allowBlank="1" type="list">
      <formula1>"Phase 1 - Correctness,Phase 2 - Data &amp; Security,Phase 3 - Performance,Phase 4 - UX &amp; Accessibility,Phase 5 - Polish &amp; Docs"</formula1>
    </dataValidation>
    <dataValidation sqref="D2:D500" showDropDown="0" showInputMessage="0" showErrorMessage="0" allowBlank="1" type="list">
      <formula1>"Critical,High,Medium,Low,Info"</formula1>
    </dataValidation>
    <dataValidation sqref="E2:E500" showDropDown="0" showInputMessage="0" showErrorMessage="0" allowBlank="1" type="list">
      <formula1>"Firestore / Data,Auth &amp; Rules,AI Bridge,Board,Table,Gantt,Calendar,Review,Projects,Settings,TaskEditor,Hooks,Routing,Theme / CSS,Performance,Accessibility,Mobile,Build / Deploy,Tests,Docs"</formula1>
    </dataValidation>
    <dataValidation sqref="L2:L500" showDropDown="0" showInputMessage="0" showErrorMessage="0" allowBlank="1" type="list">
      <formula1>"XS (&lt;15m),S (~1h),M (~half day),L (1-2d),XL (&gt;2d)"</formula1>
    </dataValidation>
    <dataValidation sqref="M2:M500" showDropDown="0" showInputMessage="0" showErrorMessage="0" allowBlank="1" type="list">
      <formula1>"Yes,No,N/A"</formula1>
    </dataValidation>
    <dataValidation sqref="N2:N500" showDropDown="0" showInputMessage="0" showErrorMessage="0" allowBlank="1" type="list">
      <formula1>"Yes,No,In Progress,Blocked"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showGridLines="0" workbookViewId="0">
      <selection activeCell="A1" sqref="A1"/>
    </sheetView>
  </sheetViews>
  <sheetFormatPr baseColWidth="8" defaultRowHeight="15"/>
  <cols>
    <col width="30" customWidth="1" min="1" max="1"/>
    <col width="78" customWidth="1" min="2" max="2"/>
    <col width="12" customWidth="1" min="3" max="3"/>
  </cols>
  <sheetData>
    <row r="1">
      <c r="A1" s="8" t="inlineStr">
        <is>
          <t>App Audit &amp; Tasks - how to use this file</t>
        </is>
      </c>
    </row>
    <row r="2">
      <c r="A2" s="9" t="inlineStr">
        <is>
          <t>Single source of truth for the task-monitor audit. Every finding gets one row on the 'Audit &amp; Tasks' tab.</t>
        </is>
      </c>
    </row>
    <row r="4" ht="20" customHeight="1">
      <c r="A4" s="10" t="inlineStr">
        <is>
          <t>Column guide</t>
        </is>
      </c>
      <c r="B4" s="11" t="n"/>
      <c r="C4" s="11" t="n"/>
    </row>
    <row r="5">
      <c r="A5" s="12" t="inlineStr">
        <is>
          <t>Task ID</t>
        </is>
      </c>
      <c r="B5" s="13" t="inlineStr">
        <is>
          <t>Stable short id, e.g. A-001. Never reuse an id after a row is deleted.</t>
        </is>
      </c>
    </row>
    <row r="6">
      <c r="A6" s="12" t="inlineStr">
        <is>
          <t>Finding</t>
        </is>
      </c>
      <c r="B6" s="13" t="inlineStr">
        <is>
          <t>The problem, stated as an observation. What is wrong today.</t>
        </is>
      </c>
    </row>
    <row r="7">
      <c r="A7" s="12" t="inlineStr">
        <is>
          <t>Phase</t>
        </is>
      </c>
      <c r="B7" s="13" t="inlineStr">
        <is>
          <t>Which pass of work this belongs to. Drives ordering, not urgency.</t>
        </is>
      </c>
    </row>
    <row r="8">
      <c r="A8" s="12" t="inlineStr">
        <is>
          <t>Severity</t>
        </is>
      </c>
      <c r="B8" s="13" t="inlineStr">
        <is>
          <t>Critical / High / Medium / Low / Info - how much it hurts if left alone.</t>
        </is>
      </c>
    </row>
    <row r="9">
      <c r="A9" s="12" t="inlineStr">
        <is>
          <t>Area</t>
        </is>
      </c>
      <c r="B9" s="13" t="inlineStr">
        <is>
          <t>Subsystem or file group, so related rows can be filtered together.</t>
        </is>
      </c>
    </row>
    <row r="10">
      <c r="A10" s="12" t="inlineStr">
        <is>
          <t>Task (imperative)</t>
        </is>
      </c>
      <c r="B10" s="13" t="inlineStr">
        <is>
          <t>One line starting with a verb: 'Route every activity edit through editActivity()'.</t>
        </is>
      </c>
    </row>
    <row r="11">
      <c r="A11" s="12" t="inlineStr">
        <is>
          <t>Location / Evidence (file:line)</t>
        </is>
      </c>
      <c r="B11" s="13" t="inlineStr">
        <is>
          <t>Where it lives. path/to/file.jsx:118, or a repro step / console message.</t>
        </is>
      </c>
    </row>
    <row r="12">
      <c r="A12" s="12" t="inlineStr">
        <is>
          <t>What to do (detailed)</t>
        </is>
      </c>
      <c r="B12" s="13" t="inlineStr">
        <is>
          <t>Enough detail that the fix needs no rediscovery. Name functions, props, fields.</t>
        </is>
      </c>
    </row>
    <row r="13">
      <c r="A13" s="12" t="inlineStr">
        <is>
          <t>Expected result</t>
        </is>
      </c>
      <c r="B13" s="13" t="inlineStr">
        <is>
          <t>The behaviour after the fix, described from the outside.</t>
        </is>
      </c>
    </row>
    <row r="14">
      <c r="A14" s="12" t="inlineStr">
        <is>
          <t>Done means (verification)</t>
        </is>
      </c>
      <c r="B14" s="13" t="inlineStr">
        <is>
          <t>The concrete check that proves it: click path, test command, expected numbers.</t>
        </is>
      </c>
    </row>
    <row r="15">
      <c r="A15" s="12" t="inlineStr">
        <is>
          <t>Depends on</t>
        </is>
      </c>
      <c r="B15" s="13" t="inlineStr">
        <is>
          <t>Task IDs that must land first. '-' when nothing blocks it.</t>
        </is>
      </c>
    </row>
    <row r="16">
      <c r="A16" s="12" t="inlineStr">
        <is>
          <t>Effort</t>
        </is>
      </c>
      <c r="B16" s="13" t="inlineStr">
        <is>
          <t>Rough size. XS &lt;15m, S ~1h, M ~half day, L 1-2d, XL &gt;2d.</t>
        </is>
      </c>
    </row>
    <row r="17">
      <c r="A17" s="12" t="inlineStr">
        <is>
          <t>Runtime VERIFY</t>
        </is>
      </c>
      <c r="B17" s="13" t="inlineStr">
        <is>
          <t>Yes if the fix must be confirmed in the running app (dev server / bridge), not just by reading code.</t>
        </is>
      </c>
    </row>
    <row r="18">
      <c r="A18" s="12" t="inlineStr">
        <is>
          <t>Done? (Yes/ No)</t>
        </is>
      </c>
      <c r="B18" s="13" t="inlineStr">
        <is>
          <t>Yes / No / In Progress / Blocked. Rows marked Yes grey out automatically.</t>
        </is>
      </c>
    </row>
    <row r="20" ht="20" customHeight="1">
      <c r="A20" s="10" t="inlineStr">
        <is>
          <t>Conventions</t>
        </is>
      </c>
      <c r="B20" s="11" t="n"/>
      <c r="C20" s="11" t="n"/>
    </row>
    <row r="21">
      <c r="A21" s="12" t="inlineStr">
        <is>
          <t>Adding rows</t>
        </is>
      </c>
      <c r="B21" s="13" t="inlineStr">
        <is>
          <t>Append below the last row; validation and formatting run to row 500.</t>
        </is>
      </c>
    </row>
    <row r="22">
      <c r="A22" s="12" t="inlineStr">
        <is>
          <t>Example row</t>
        </is>
      </c>
      <c r="B22" s="13" t="inlineStr">
        <is>
          <t>The cream sample row (A-001) was removed on 2026-09-07. Id A-001 is retired; new ids continue from the last used id.</t>
        </is>
      </c>
    </row>
    <row r="23">
      <c r="A23" s="12" t="inlineStr">
        <is>
          <t>Filtering</t>
        </is>
      </c>
      <c r="B23" s="13" t="inlineStr">
        <is>
          <t>Row 1 has autofilter. Filter Done? = No, sort by Severity, work top-down.</t>
        </is>
      </c>
    </row>
    <row r="24">
      <c r="A24" s="12" t="inlineStr">
        <is>
          <t>Re-audit</t>
        </is>
      </c>
      <c r="B24" s="13" t="inlineStr">
        <is>
          <t>Never delete a resolved row - set Done? = Yes so the history stays.</t>
        </is>
      </c>
    </row>
    <row r="26" ht="20" customHeight="1">
      <c r="A26" s="10" t="inlineStr">
        <is>
          <t>Status</t>
        </is>
      </c>
      <c r="B26" s="11" t="n"/>
      <c r="C26" s="11" t="n"/>
    </row>
    <row r="27">
      <c r="A27" s="12" t="inlineStr">
        <is>
          <t>Total tasks</t>
        </is>
      </c>
      <c r="C27" s="14">
        <f>COUNTA('Audit &amp; Tasks'!$A$2:$A$500)</f>
        <v/>
      </c>
    </row>
    <row r="28">
      <c r="A28" s="12" t="inlineStr">
        <is>
          <t>Done</t>
        </is>
      </c>
      <c r="C28" s="14">
        <f>COUNTIF('Audit &amp; Tasks'!$N$2:$N$500,"Yes")</f>
        <v/>
      </c>
    </row>
    <row r="29">
      <c r="A29" s="12" t="inlineStr">
        <is>
          <t>In progress</t>
        </is>
      </c>
      <c r="C29" s="14">
        <f>COUNTIF('Audit &amp; Tasks'!$N$2:$N$500,"In Progress")</f>
        <v/>
      </c>
    </row>
    <row r="30">
      <c r="A30" s="12" t="inlineStr">
        <is>
          <t>Blocked</t>
        </is>
      </c>
      <c r="C30" s="14">
        <f>COUNTIF('Audit &amp; Tasks'!$N$2:$N$500,"Blocked")</f>
        <v/>
      </c>
    </row>
    <row r="31">
      <c r="A31" s="12" t="inlineStr">
        <is>
          <t>Open (not done)</t>
        </is>
      </c>
      <c r="C31" s="14">
        <f>COUNTA('Audit &amp; Tasks'!$A$2:$A$500)-COUNTIF('Audit &amp; Tasks'!$N$2:$N$500,"Yes")</f>
        <v/>
      </c>
    </row>
    <row r="32">
      <c r="A32" s="12" t="inlineStr">
        <is>
          <t>Open - Critical</t>
        </is>
      </c>
      <c r="C32" s="14">
        <f>COUNTIFS('Audit &amp; Tasks'!$D$2:$D$500,"Critical",'Audit &amp; Tasks'!$N$2:$N$500,"&lt;&gt;Yes")</f>
        <v/>
      </c>
    </row>
    <row r="33">
      <c r="A33" s="12" t="inlineStr">
        <is>
          <t>Open - High</t>
        </is>
      </c>
      <c r="C33" s="14">
        <f>COUNTIFS('Audit &amp; Tasks'!$D$2:$D$500,"High",'Audit &amp; Tasks'!$N$2:$N$500,"&lt;&gt;Yes")</f>
        <v/>
      </c>
    </row>
    <row r="34">
      <c r="A34" s="12" t="inlineStr">
        <is>
          <t>Open - Medium</t>
        </is>
      </c>
      <c r="C34" s="14">
        <f>COUNTIFS('Audit &amp; Tasks'!$D$2:$D$500,"Medium",'Audit &amp; Tasks'!$N$2:$N$500,"&lt;&gt;Yes")</f>
        <v/>
      </c>
    </row>
    <row r="35">
      <c r="A35" s="12" t="inlineStr">
        <is>
          <t>Open - Low</t>
        </is>
      </c>
      <c r="C35" s="14">
        <f>COUNTIFS('Audit &amp; Tasks'!$D$2:$D$500,"Low",'Audit &amp; Tasks'!$N$2:$N$500,"&lt;&gt;Yes")</f>
        <v/>
      </c>
    </row>
    <row r="36">
      <c r="A36" s="12" t="inlineStr">
        <is>
          <t>% complete</t>
        </is>
      </c>
      <c r="C36" s="15">
        <f>IFERROR(COUNTIF('Audit &amp; Tasks'!$N$2:$N$500,"Yes")/COUNTA('Audit &amp; Tasks'!$A$2:$A$500),0)</f>
        <v/>
      </c>
    </row>
    <row r="38">
      <c r="A38" s="16" t="inlineStr">
        <is>
          <t>Example row removed 2026-09-07; counts reflect real tasks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2026-09-07T04:41:35Z</dcterms:created>
  <dcterms:modified xsi:type="dcterms:W3CDTF">2026-09-07T16:49:13Z</dcterms:modified>
</cp:coreProperties>
</file>