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asks" state="visible" r:id="rId4"/>
    <sheet sheetId="2" name="Summary" state="visible" r:id="rId5"/>
  </sheets>
  <calcPr calcId="171027"/>
</workbook>
</file>

<file path=xl/sharedStrings.xml><?xml version="1.0" encoding="utf-8"?>
<sst xmlns="http://schemas.openxmlformats.org/spreadsheetml/2006/main" count="1589" uniqueCount="650">
  <si>
    <t>Task ID</t>
  </si>
  <si>
    <t>Source ID</t>
  </si>
  <si>
    <t>Release</t>
  </si>
  <si>
    <t>Priority</t>
  </si>
  <si>
    <t>Category</t>
  </si>
  <si>
    <t>Area</t>
  </si>
  <si>
    <t>Task title</t>
  </si>
  <si>
    <t>Detailed instructions</t>
  </si>
  <si>
    <t>Acceptance criteria</t>
  </si>
  <si>
    <t>Files / modules</t>
  </si>
  <si>
    <t>Dependencies</t>
  </si>
  <si>
    <t>Estimate</t>
  </si>
  <si>
    <t>Test instructions</t>
  </si>
  <si>
    <t>Done?</t>
  </si>
  <si>
    <t>Notes</t>
  </si>
  <si>
    <t>Location</t>
  </si>
  <si>
    <t>Risk</t>
  </si>
  <si>
    <t>Recommendation</t>
  </si>
  <si>
    <t>Est. AI cost (USD)</t>
  </si>
  <si>
    <t>T-0001</t>
  </si>
  <si>
    <t>BUG-001</t>
  </si>
  <si>
    <t>v0.2</t>
  </si>
  <si>
    <t>P0</t>
  </si>
  <si>
    <t>Bug</t>
  </si>
  <si>
    <t>Auth</t>
  </si>
  <si>
    <t>Any user can self-assign a company and read its AI key</t>
  </si>
  <si>
    <t xml:space="preserve">The users update rule only pins status, role and email; companyId is free. A regular approved user can call updateDoc(users/{me}, {companyId: X}) from the browser console, after which the companies read rule (isMyCompany) lets them read companies/X including anthropicApiKey and then spend that company's budget. Superadmin-only assignment in Settings is UI-only.
Reproduction: Sign in as a normal approved user. In DevTools run updateDoc on users/&lt;uid&gt; with {companyId:'&lt;any company id&gt;'} (ids are visible to superadmins; brute-force is not needed if the user was ever in a company). Then getDoc(companies/&lt;id&gt;) returns the API key.
Root cause: Self-update rule enumerates immutable fields instead of allowing only displayName/photoURL; companyId is a privilege field written by the same document path.
Fix: In the users update rule add request.resource.data.get('companyId','') == resource.data.get('companyId','') to the self branch (or use diff().affectedKeys().hasOnly(['displayName','photoURL'])). Deploy with npm run deploy:rules. Longer term move the key server-side (see the AI-proxy finding).
Where to see it: Settings → User Management (Company dropdown) / any page with DevTools
Risk of applying: High — Rules change affects every profile write; superadmin assignment path must keep working. No emulator tests exist today. Recommendation: On-Hold.
Files: firestore.rules:340-348 · firestore.rules:301-309 · src/services/firebase.js:271-275</t>
  </si>
  <si>
    <t xml:space="preserve">1. Given an approved non-superadmin user
2. When they write companyId on their own users document
3. Then Firestore rejects the write with permission-denied and no company document becomes readable</t>
  </si>
  <si>
    <t>firestore.rules:340-348 · firestore.rules:301-309 · src/services/firebase.js:271-275</t>
  </si>
  <si>
    <t/>
  </si>
  <si>
    <t>S</t>
  </si>
  <si>
    <t xml:space="preserve">Add a Firestore emulator rules test (firebase emulators:exec) that asserts the self-update with companyId is denied and superadmin update is allowed; manually verify with the console steps above after deploying rules.
Run: npm test</t>
  </si>
  <si>
    <t>YES</t>
  </si>
  <si>
    <t>users self-update is now an allowlist (displayName/photoURL/email only) so companyId cannot be self-assigned; firestore.rules, src/services/firebase.js, tests/rules/{harness,users.rules.test}.mjs, package.json (test:rules), firebase.json (emulator); 11 emulator rules tests added. Deploy with npm run deploy:rules.</t>
  </si>
  <si>
    <t>Settings → User Management (Company dropdown) / any page with DevTools</t>
  </si>
  <si>
    <t>High</t>
  </si>
  <si>
    <t>Proceed</t>
  </si>
  <si>
    <t>T-0002</t>
  </si>
  <si>
    <t>BUG-002</t>
  </si>
  <si>
    <t>Security</t>
  </si>
  <si>
    <t>Invite links let any signed-in user become project admin — API/data layer</t>
  </si>
  <si>
    <t xml:space="preserve">invites create only requires userId == auth.uid, so anyone can create an invite for ANY projectId with role 'admin' and immediately claim it; isClaimingInvite then grants the ACL. Worse, invites are readable by every authenticated user (allow read: if request.auth != null), so all live invite ids (the 'secret' URL) and projectIds are enumerable. presence is also world-readable and leaks taskIds and names across workspaces.
Reproduction: As any approved user, getDocs(collection('invites')) lists every invite. Or addDoc(invites,{userId:me,projectId:&lt;target&gt;,role:'admin',revoked:false,claims:[]}) then call claimInvite(id) → you are admin of the target project and can read/edit its tasks.
Root cause: Invite creation is not gated on project admin/owner rights, invite reads are not restricted to the creator or exact-id lookups, and claim validation trusts the invite doc.
Fix: Rules: allow create only if hasProjectRole(projectId,'admin') || isOwner(project) || isWorkspaceAdmin(project.workspaceId); allow read only to the creator (list) — claiming should fetch by exact doc id (get) which works without list permission; restrict presence read to workspace members or drop cross-workspace fields.
Where to see it: Projects → project editor → Sharing → Generate invite link
Risk of applying: High — Changes rule semantics for invites and presence; getInvite currently uses a query on __name__ which needs list permission — switch it to getDoc. Recommendation: On-Hold.
Scope of this row: server-side changes only (routes, validation, database, spec). Leave the UI for the next row.</t>
  </si>
  <si>
    <t xml:space="preserve">1. Given a user who is not an admin of project P
2. When they create an invite for P
3. Then the write is denied
4. Given a valid invite id
5. When the recipient opens #/invite/&lt;id&gt;
6. Then claim still succeeds</t>
  </si>
  <si>
    <t>firestore.rules:188-198 · firestore.rules:169-186 · firestore.rules:272-278 · src/services/firebase.js:1984-2062</t>
  </si>
  <si>
    <t>M</t>
  </si>
  <si>
    <t xml:space="preserve">Emulator rules tests for: non-admin create denied; admin create allowed; list invites denied for non-creator; get-by-id allowed. Manual: generate link in Projects → Share, open in incognito, accept.
Run: npm test</t>
  </si>
  <si>
    <t>Invites hardened server-side: create requires project/workspace admin, get-by-id only (no list enumeration), updates limited to appending claims, claim can only set the claimers own ACL slot; presence scoped to workspaceId; getInvite switched to getDoc. firestore.rules, src/services/firebase.js, src/hooks/usePresence.js, src/components/TaskEditor.jsx, tests/rules/{invites,presence}.rules.test.mjs; 15 new emulator tests.</t>
  </si>
  <si>
    <t>Projects → project editor → Sharing → Generate invite link</t>
  </si>
  <si>
    <t>T-0003</t>
  </si>
  <si>
    <t>Invite links let any signed-in user become project admin — UI</t>
  </si>
  <si>
    <t xml:space="preserve">invites create only requires userId == auth.uid, so anyone can create an invite for ANY projectId with role 'admin' and immediately claim it; isClaimingInvite then grants the ACL. Worse, invites are readable by every authenticated user (allow read: if request.auth != null), so all live invite ids (the 'secret' URL) and projectIds are enumerable. presence is also world-readable and leaks taskIds and names across workspaces.
Reproduction: As any approved user, getDocs(collection('invites')) lists every invite. Or addDoc(invites,{userId:me,projectId:&lt;target&gt;,role:'admin',revoked:false,claims:[]}) then call claimInvite(id) → you are admin of the target project and can read/edit its tasks.
Root cause: Invite creation is not gated on project admin/owner rights, invite reads are not restricted to the creator or exact-id lookups, and claim validation trusts the invite doc.
Fix: Rules: allow create only if hasProjectRole(projectId,'admin') || isOwner(project) || isWorkspaceAdmin(project.workspaceId); allow read only to the creator (list) — claiming should fetch by exact doc id (get) which works without list permission; restrict presence read to workspace members or drop cross-workspace fields.
Where to see it: Projects → project editor → Sharing → Generate invite link
Risk of applying: High — Changes rule semantics for invites and presence; getInvite currently uses a query on __name__ which needs list permission — switch it to getDoc. Recommendation: On-Hold.
Scope of this row: client-side changes (pages, components, styles) that use the API from T-0002. Plain-language inputs only.</t>
  </si>
  <si>
    <t>Invite UI now mirrors the rules: sharing panel and invite listener gated on canAdministerProject, non-admins get a plain-language explanation instead of a failing button; all Firestore errors in the sharing panel and invite claim screen run through friendlyError. src/services/access.js (new, pure), src/services/access.test.mjs, src/components/ProjectsView.jsx, src/components/InviteClaimView.jsx, src/hooks/usePresence.js; 7 unit tests added.</t>
  </si>
  <si>
    <t>T-0004</t>
  </si>
  <si>
    <t>Test</t>
  </si>
  <si>
    <t>Invite links let any signed-in user become project admin — tests &amp; docs</t>
  </si>
  <si>
    <t>Add automated tests covering BUG-002 (API and, where possible, UI), update README.md/Implementation_plan.md status, append CHANGELOG.md.</t>
  </si>
  <si>
    <t>server/src/app.test.ts · README.md · Implementation_plan.md · CHANGELOG.md</t>
  </si>
  <si>
    <t>T-0002, T-0003</t>
  </si>
  <si>
    <t>npm test passes; docs mention the feature.</t>
  </si>
  <si>
    <t>Tests and docs for BUG-002: 12 invite + 3 presence emulator tests and 7 access-rule unit tests are in place; README gained a "Security model — who can share a project" table and the npm test / test:rules / test:all commands. README.md, CHANGELOG.md. (No Implementation_plan.md exists in this repo.)</t>
  </si>
  <si>
    <t>Low</t>
  </si>
  <si>
    <t>T-0005</t>
  </si>
  <si>
    <t>BUG-003</t>
  </si>
  <si>
    <t>Approval gate is client-side only; pending users can write data</t>
  </si>
  <si>
    <t xml:space="preserve">App.jsx routes pending/rejected users to PendingApprovalView, but firestore.rules never checks users/{uid}.status for workspaces, projects, tasks, activities etc. A rejected user can still create workspaces and documents through the SDK, and can claim invites.
Reproduction: Sign in with an unapproved Google account, then from DevTools call addWorkspace(uid,{name:'x'}) — it succeeds.
Root cause: No isApprovedUser() helper in rules.
Fix: Add function isApproved(){ return exists(users/uid) &amp;&amp; get(users/uid).data.status=='approved'; } and AND it into every create/update/delete rule (and reads except users/{self}).
Where to see it: Waiting for approval screen (whole app)
Risk of applying: High — Adds a document read to every rule evaluation (cost); superadmin bootstrap path must stay allowed. Recommendation: On-Hold.
Files: src/App.jsx:105-113 · firestore.rules:95-112 · firestore.rules:130-148</t>
  </si>
  <si>
    <t xml:space="preserve">1. Given a user whose profile status is pending or rejected
2. When they attempt any Firestore write outside users/{self}
3. Then it is denied</t>
  </si>
  <si>
    <t>src/App.jsx:105-113 · firestore.rules:95-112 · firestore.rules:130-148</t>
  </si>
  <si>
    <t xml:space="preserve">Emulator rules tests with a pending user fixture; manual check via DevTools as above.
Run: npm test</t>
  </si>
  <si>
    <t>Approval is now enforced in firestore.rules: isApproved() folded into every access primitive (isOwner, isCreatingOwn, workspace/project membership, isMyCompany, invite claim) plus the raw workspace/conversation/message/invite rules; users/{self} stays exempt so a new account can create and read its own profile. App.jsx gate turned into an allowlist (status !== approved waits outside). firestore.rules, src/App.jsx, tests/rules/approval.rules.test.mjs; 22 emulator tests added.</t>
  </si>
  <si>
    <t>Waiting for approval screen (whole app)</t>
  </si>
  <si>
    <t>T-0006</t>
  </si>
  <si>
    <t>BUG-004</t>
  </si>
  <si>
    <t>P1</t>
  </si>
  <si>
    <t>DB</t>
  </si>
  <si>
    <t>Next recurring task is created without workspaceId</t>
  </si>
  <si>
    <t xml:space="preserve">spawnNextRecurrence writes the new task without workspaceId (and without assignedTo/links/customValues). The create rule then only passes via the projectId branch, and even when it passes the task is invisible to subscribeToTasks(workspaceId), so the 'next instance' silently never appears on the Board.
Reproduction: Create a task with Recurring = weekly, drag it to Done. Look for the next instance on the Board/Calendar: it is missing (or console shows permission-denied).
Root cause: Copy of the task payload predates the workspace model; addTask enforces workspaceId but spawnNextRecurrence bypasses addTask.
Fix: Reuse addTask(task.userId,{...task fields, workspaceId: task.workspaceId, recurrenceParentId, plan: next}) so all v9+ fields are inherited; add a unit test around nextRecurrenceDates and a spawn test with a mocked addDoc.
Where to see it: Kanban → task card → drag to Done
Risk of applying: High — Creates stored documents; existing orphaned instances need a one-off backfill of workspaceId. Recommendation: On-Hold.
Files: src/services/firebase.js:1060-1111 · src/services/firebase.js:1129-1148</t>
  </si>
  <si>
    <t xml:space="preserve">1. Given a weekly recurring task in workspace W
2. When it is marked done
3. Then a new todo task with the same workspaceId and shifted dates appears on the Board of W</t>
  </si>
  <si>
    <t>src/services/firebase.js:1060-1111 · src/services/firebase.js:1129-1148</t>
  </si>
  <si>
    <t xml:space="preserve">Mark a recurring task done; confirm the new card appears with 🔁 badge and correct dates; check Firestore doc has workspaceId.
Run: npm test</t>
  </si>
  <si>
    <t>spawnNextRecurrence now goes through addTask, so the next instance inherits workspaceId plus assignedTo/links/customValues/phaseId and resets subtasks+dependsOn; recurrence maths extracted to the pure src/services/recurrence.js (re-exported from firebase.js) and covered by 17 unit tests; added repairOrphanedDocuments() to adopt already-orphaned tasks/activities into the users workspace, kicked off once per device from useWorkspaces. src/services/recurrence.js, src/services/recurrence.test.mjs, src/services/firebase.js, src/hooks/useWorkspace.js. Board verification needs a signed-in Firebase session; payload shape is covered by tests.</t>
  </si>
  <si>
    <t>Kanban → task card → drag to Done</t>
  </si>
  <si>
    <t>T-0007</t>
  </si>
  <si>
    <t>IMP-002</t>
  </si>
  <si>
    <t>Infra</t>
  </si>
  <si>
    <t>Bridge lets web pages set the executable it spawns</t>
  </si>
  <si>
    <t xml:space="preserve">POST /ai/settings accepts cliPath and the bridge spawns that path for every question. Any page on an allow-listed origin (including the production site) can point the bridge at an arbitrary local binary with attacker-controlled argv, turning an XSS or compromised deploy into local code execution on the operator's Mac.
Reproduction: From the production site console: fetch('http://127.0.0.1:4319/ai/settings',{method:'POST',headers:{'content-type':'application/json'},body:JSON.stringify({cliPath:'/usr/bin/say'})}) then trigger any AI call.
Root cause: Settings endpoint exposes an unrestricted path field without an auth token.
Fix: Drop cliPath from the HTTP-settable keys (env/config-file only), validate cliModel against a whitelist, and require a per-session token that the UI reads from the bridge console output or a local file.
Where to see it: Settings → AI brain (superadmin) / bridge
Risk of applying: High — Untested path; changes bridge contract used by Settings save. Recommendation: On-Hold.
Files: bridge/server.mjs:254-258 · bridge/ai.mjs:53-69 · bridge/ai.mjs:77-79</t>
  </si>
  <si>
    <t xml:space="preserve">1. Given the bridge is running
2. When a page posts cliPath to /ai/settings
3. Then the response ignores it and the CLI path stays unchanged</t>
  </si>
  <si>
    <t>bridge/server.mjs:254-258 · bridge/ai.mjs:53-69 · bridge/ai.mjs:77-79</t>
  </si>
  <si>
    <t xml:space="preserve">Add a node --test case for setAiSettings ignoring cliPath from HTTP; curl the endpoint and read GET /ai/settings.
Run: npm test</t>
  </si>
  <si>
    <t>Bridge no longer lets a web page choose the binary it spawns: cliPath dropped from the HTTP-settable keys (env TM_BRIDGE_CLI_PATH or config file only), cliModel/apiModel validated against ALLOWED_CLI_MODELS, unknown and prototype keys dropped, and POST /ai/settings now needs a per-session admin code printed at startup and saved to ~/.task-monitor/bridge-token; cliPath redacted from every HTTP response. Frontend sends x-bridge-token and Settings - AI brain now has a model dropdown plus a plain-language admin-code field. bridge/ai.mjs, bridge/server.mjs, bridge/settings.test.mjs, src/services/ai.js, src/components/SettingsView.jsx, README.md; 13 unit tests added, verified live with curl.</t>
  </si>
  <si>
    <t>Settings → AI brain (superadmin) / bridge</t>
  </si>
  <si>
    <t>T-0008</t>
  </si>
  <si>
    <t>IMP-004</t>
  </si>
  <si>
    <t>Improvement</t>
  </si>
  <si>
    <t>UI</t>
  </si>
  <si>
    <t>No error boundary; render errors blank the app</t>
  </si>
  <si>
    <t xml:space="preserve">main.jsx renders App with no React error boundary. A thrown render error (e.g. a task with unexpected data shape in a card) leaves the user with a white page and no recovery.
Reproduction: Temporarily throw inside CardBody; the entire app disappears.
Root cause: Missing boundary component.
Fix: Add an ErrorBoundary around AppShell and around each Suspense view with a friendly message and Reload button; log to console.
Where to see it: All pages
Risk of applying: Low — Additive component. Recommendation: Proceed.
Files: src/main.jsx:7-16 · src/App.jsx:62-116</t>
  </si>
  <si>
    <t xml:space="preserve">1. Given one view throws
2. When it renders
3. Then the sidebar stays usable and the view shows an error card with Retry</t>
  </si>
  <si>
    <t>src/main.jsx:7-16 · src/App.jsx:62-116</t>
  </si>
  <si>
    <t xml:space="preserve">Inject a throw in a lazy view and verify the fallback.
Run: npm test</t>
  </si>
  <si>
    <t>ErrorBoundary added around the whole app (main.jsx, App.jsx invite route) and around each lazy view, so a crashing page leaves the sidebar usable and shows a card with Try again / Reload and a collapsed Technical details line; navigation clears the error. Crash copy extracted to the pure src/services/errorMessages.js (stale-deploy and offline cases named specifically). Also stood up a real DOM test rig (jsdom + a rolldown JSX loader) now wired into npm test. src/components/ErrorBoundary.jsx, src/services/errorMessages.js(+test), src/App.jsx, src/main.jsx, src/App.css, dev/error-boundary.{html,jsx}, tests/ui/{dom,jsx-loader,jsx-hooks,ErrorBoundary.test}.mjs, package.json; 16 tests added.</t>
  </si>
  <si>
    <t>All pages</t>
  </si>
  <si>
    <t>T-0009</t>
  </si>
  <si>
    <t>IMP-005</t>
  </si>
  <si>
    <t>Tests cover only bridge parsing and due-alert rules — API/data layer</t>
  </si>
  <si>
    <t xml:space="preserve">npm test runs bridge/*.test.mjs and src/**/*.test.mjs; untested: recurrence date math, nlpQuickAdd parser, askAi digest/search/action resolution (1,500 lines), CSV parser, and all Firestore security rules. Most of the bugs in this audit sit in untested code.
Reproduction: Run npm test: 3 suites only.
Root cause: Pure logic lives inside firebase.js and components, hard to import in node.
Fix: Extract recurrence and csv parsing into src/services/*.js pure modules with node --test files; add firebase emulator rules tests under tests/rules with a npm run test:rules script.
Where to see it: Developer workflow
Risk of applying: Low — Refactor moves pure functions; behaviour unchanged. Recommendation: Proceed.
Scope of this row: server-side changes only (routes, validation, database, spec). Leave the UI for the next row.</t>
  </si>
  <si>
    <t xml:space="preserve">1. Given npm test
2. When it runs
3. Then recurrence, quick-add parsing, askAi search and rules suites execute and pass</t>
  </si>
  <si>
    <t>package.json:9 · src/services/firebase.js:1018-1058 · src/services/nlpQuickAdd.js · src/services/askAi.js · src/components/CsvImporter.jsx:11-34</t>
  </si>
  <si>
    <t xml:space="preserve">CI: npm test and firebase emulators:exec 'npm run test:rules'.
Run: npm test</t>
  </si>
  <si>
    <t>Pure logic pulled out of components and firebase.js so it can be tested: new src/services/csv.js (RFC-4180 parser, column mapping, plain-language validation, cell normalisers) and src/services/askAiCore.js (digest, intent routing, search, answer builders — no Firebase import, re-exported from askAi.js); parseQuickAdd gained an injectable `now`. 60 new unit tests across csv/nlpQuickAdd/askAiCore on top of the recurrence and rules suites. src/services/{csv,csv.test,askAiCore,askAiCore.test,askAi,nlpQuickAdd,nlpQuickAdd.test}.*</t>
  </si>
  <si>
    <t>Developer workflow</t>
  </si>
  <si>
    <t>T-0010</t>
  </si>
  <si>
    <t>Tests cover only bridge parsing and due-alert rules — UI</t>
  </si>
  <si>
    <t xml:space="preserve">npm test runs bridge/*.test.mjs and src/**/*.test.mjs; untested: recurrence date math, nlpQuickAdd parser, askAi digest/search/action resolution (1,500 lines), CSV parser, and all Firestore security rules. Most of the bugs in this audit sit in untested code.
Reproduction: Run npm test: 3 suites only.
Root cause: Pure logic lives inside firebase.js and components, hard to import in node.
Fix: Extract recurrence and csv parsing into src/services/*.js pure modules with node --test files; add firebase emulator rules tests under tests/rules with a npm run test:rules script.
Where to see it: Developer workflow
Risk of applying: Low — Refactor moves pure functions; behaviour unchanged. Recommendation: Proceed.
Scope of this row: client-side changes (pages, components, styles) that use the API from T-0009. Plain-language inputs only.</t>
  </si>
  <si>
    <t>CsvImporter now uses services/csv.js end to end (readActivityCsv + buildImportPreview + summarizeImport) instead of its own private copies, and the preview strip says in plain words what the import will do (rows imported, added to existing tasks, new tasks, hours, rows skipped and why) before anything is written; unreadable files explain themselves. Added tests/ui/CsvImporter.test.mjs (5 real-DOM tests) and taught the test loader to stand in for import.meta.env. src/components/CsvImporter.jsx, src/services/csv.js(+test), tests/ui/{CsvImporter.test,dom,jsx-hooks}.mjs; 16 tests added.</t>
  </si>
  <si>
    <t>T-0011</t>
  </si>
  <si>
    <t>Tests cover only bridge parsing and due-alert rules — tests &amp; docs</t>
  </si>
  <si>
    <t>Add automated tests covering IMP-005 (API and, where possible, UI), update README.md/Implementation_plan.md status, append CHANGELOG.md.</t>
  </si>
  <si>
    <t>T-0009, T-0010</t>
  </si>
  <si>
    <t>Tests and docs for IMP-005: npm test now runs 177 tests across 12 suites (bridge, due alerts, recurrence, csv, quick-add, askAiCore, access, error messages, and real-DOM component tests) and npm run test:rules runs 48 emulator tests; README gained a Tests section with a suite-by-suite table and a "where logic lives" rule, CLAUDE.md gained the same rule under Conventions plus the new commands. README.md, CLAUDE.md, CHANGELOG.md. (No Implementation_plan.md in this repo.)</t>
  </si>
  <si>
    <t>T-0012</t>
  </si>
  <si>
    <t>BUG-005</t>
  </si>
  <si>
    <t>P2</t>
  </si>
  <si>
    <t>Default project setting is never applied to quick-add</t>
  </si>
  <si>
    <t xml:space="preserve">Settings → Defaults offers 'Default project for quick-add' and stores settings.defaultProject, but TaskForm never reads useSettings; it always preselects projects[0]. Dead control.
Reproduction: Set a default project in Settings, go to Kanban with All projects: the quick-add dropdown shows the first project instead.
Root cause: Setting was added without wiring the consumer.
Fix: In TaskForm, read settings.defaultProject and prefer it (if it exists in projects) before projects[0].
Where to see it: Settings → Defaults; Kanban → quick-add row
Risk of applying: Low — Single component change. Recommendation: Proceed.
Files: src/components/SettingsView.jsx:355-366 · src/components/TaskForm.jsx:46-54 · src/hooks/useSettings.js:11</t>
  </si>
  <si>
    <t xml:space="preserve">1. Given defaultProject is set to P
2. When the Board quick-add mounts with All projects
3. Then P is preselected</t>
  </si>
  <si>
    <t>src/components/SettingsView.jsx:355-366 · src/components/TaskForm.jsx:46-54 · src/hooks/useSettings.js:11</t>
  </si>
  <si>
    <t xml:space="preserve">Set default, reload Kanban, check dropdown value.
Run: npm test</t>
  </si>
  <si>
    <t>Settings default project is now honoured by the Board quick-add: the preselected project is derived during render (filter &gt; saved default &gt; first project) via the new pure src/services/preferences.js, so a deleted default falls back instead of leaving the box blank and the dropdown never flashes empty. src/components/TaskForm.jsx, src/services/preferences.js(+test), tests/ui/TaskForm.test.mjs; 11 tests added.</t>
  </si>
  <si>
    <t>Settings → Defaults; Kanban → quick-add row</t>
  </si>
  <si>
    <t>T-0013</t>
  </si>
  <si>
    <t>BUG-006</t>
  </si>
  <si>
    <t>'Shared' badge can never render</t>
  </si>
  <si>
    <t xml:space="preserve">AppShell and ProjectsView render a Shared badge when p._shared is true, but useProjects never sets _shared when merging shared projects.
Reproduction: Share a project with a user in another workspace; no Shared badge appears anywhere.
Root cause: Flag documented in a comment but not implemented.
Fix: In the merge loop set map.set(p.id,{...p,_shared:true}) for shared-only projects.
Where to see it: Projects page; topbar project picker
Risk of applying: Low — Pure client change. Recommendation: Proceed.
Files: src/hooks/useTasks.js:89-109 · src/components/AppShell.jsx:682 · src/components/ProjectsView.jsx:134</t>
  </si>
  <si>
    <t xml:space="preserve">1. Given a project reached only through project membership
2. When it is listed in the picker or Projects page
3. Then a Shared badge shows</t>
  </si>
  <si>
    <t>src/hooks/useTasks.js:89-109 · src/components/AppShell.jsx:682 · src/components/ProjectsView.jsx:134</t>
  </si>
  <si>
    <t xml:space="preserve">Accept an invite from another workspace, open Projects.
Run: npm test</t>
  </si>
  <si>
    <t>Shared-only projects now carry _shared: true, so the "Shared" badge AppShell and ProjectsView already render can actually appear; merge logic extracted to the pure src/services/projects.js (shared projects from other workspaces still never bleed in, and the source object is not mutated). src/hooks/useTasks.js, src/services/projects.js(+test); 7 unit tests added.</t>
  </si>
  <si>
    <t>Projects page; topbar project picker</t>
  </si>
  <si>
    <t>T-0014</t>
  </si>
  <si>
    <t>BUG-007</t>
  </si>
  <si>
    <t>Export file dates use UTC, not the user's day — API/data layer</t>
  </si>
  <si>
    <t xml:space="preserve">CSV and JSON exports name files with new Date().toISOString().slice(0,10) (UTC). In Asia/Manila, exports made before 08:00 get yesterday's date, breaking the date-stamp requirement and the WBSView export which uses todayLocal().
Reproduction: At 07:00 local, click Export all CSV: filename shows the previous date.
Root cause: Mixed date helpers.
Fix: Use todayLocal() from services/firebase.js in every download name, and centralise in one downloadFile(name, blob) helper.
Where to see it: Activity Log → Export; Projects → Log → Download CSV; Settings → Export JSON; WBS modal
Risk of applying: Low — Four files, naming only. Recommendation: Proceed.
Scope of this row: server-side changes only (routes, validation, database, spec). Leave the UI for the next row.</t>
  </si>
  <si>
    <t xml:space="preserve">1. Given local time 07:00 on 2026-09-12
2. When any export runs
3. Then the filename ends with -2026-09-12.&lt;ext&gt;</t>
  </si>
  <si>
    <t>src/components/TableView.jsx:307 · src/components/ProjectsView.jsx:371 · src/components/SettingsView.jsx:807 · src/components/WbsModal.jsx:85</t>
  </si>
  <si>
    <t xml:space="preserve">Change system clock or mock Date; run each export.
Run: npm test</t>
  </si>
  <si>
    <t>Added src/services/download.js as the single door for handing a file to the user: stampedName() produces &lt;name&gt;-YYYY-MM-DD.&lt;ext&gt; from todayLocal() (never the UTC day, which stamped Manila mornings with yesterday), safeFileName() sanitises project names, mimeFor() covers csv/json/md/txt/html/pdf/docx/xlsx/pptx, and downloadFile() does the blob-and-anchor dance once. src/services/download.js(+test); 7 unit tests added.</t>
  </si>
  <si>
    <t>Activity Log → Export; Projects → Log → Download CSV; Settings → Export JSON; WBS modal</t>
  </si>
  <si>
    <t>T-0015</t>
  </si>
  <si>
    <t>Export file dates use UTC, not the user's day — UI</t>
  </si>
  <si>
    <t xml:space="preserve">CSV and JSON exports name files with new Date().toISOString().slice(0,10) (UTC). In Asia/Manila, exports made before 08:00 get yesterday's date, breaking the date-stamp requirement and the WBSView export which uses todayLocal().
Reproduction: At 07:00 local, click Export all CSV: filename shows the previous date.
Root cause: Mixed date helpers.
Fix: Use todayLocal() from services/firebase.js in every download name, and centralise in one downloadFile(name, blob) helper.
Where to see it: Activity Log → Export; Projects → Log → Download CSV; Settings → Export JSON; WBS modal
Risk of applying: Low — Four files, naming only. Recommendation: Proceed.
Scope of this row: client-side changes (pages, components, styles) that use the API from T-0014. Plain-language inputs only.</t>
  </si>
  <si>
    <t>All five export buttons (Activity Log CSV, Projects log CSV, Settings JSON backup, WBS modal CSV, WBS view CSV) now call downloadFile(), so every file is &lt;name&gt;-YYYY-MM-DD.&lt;ext&gt; in the users local day and project names are sanitised once. Two regression guards added: no source file may build a filename from toISOString(), and no file outside services/download.js may set a.download. src/components/{TableView,SettingsView,ProjectsView,WbsModal,WBSView}.jsx, tests/ui/download.test.mjs; 7 tests added.</t>
  </si>
  <si>
    <t>T-0016</t>
  </si>
  <si>
    <t>Export file dates use UTC, not the user's day — tests &amp; docs</t>
  </si>
  <si>
    <t>Add automated tests covering BUG-007 (API and, where possible, UI), update README.md/Implementation_plan.md status, append CHANGELOG.md.</t>
  </si>
  <si>
    <t>T-0014, T-0015</t>
  </si>
  <si>
    <t>Tests and docs for BUG-007: 14 tests cover the stamped-filename helper and the two regression guards; README gained the "every downloadable file is date-stamped" rule and the new suite rows, CLAUDE.md gained the same rule under Conventions and a matching Common Pitfall. README.md, CLAUDE.md, CHANGELOG.md.</t>
  </si>
  <si>
    <t>T-0017</t>
  </si>
  <si>
    <t>BUG-008</t>
  </si>
  <si>
    <t>AI</t>
  </si>
  <si>
    <t>Bridge API mode is labelled as subscription billing — API/data layer</t>
  </si>
  <si>
    <t xml:space="preserve">detectProvider maps a bridge whose aiMode is 'api' to 'claude-code', so the AI brain panel says 'Thinking on your Claude subscription — no API billing' while the bridge is actually calling the Anthropic API per token. Separately, MyCompanyAiStatus tells users without a company that AI is unavailable, but isAiAllowedForUser() returns true for them and the local bridge works.
Reproduction: Run the bridge with ANTHROPIC_API_KEY and no claude CLI; open Settings → AI brain.
Root cause: Provider enum conflates transport (bridge) with billing model.
Fix: Introduce provider 'bridge-api' (or carry health.aiMode through) and label accordingly; make the non-admin card read useAiStatus() instead of companyId presence.
Where to see it: Settings → AI brain / AI access
Risk of applying: Low — Label logic only. Recommendation: Proceed.
Scope of this row: server-side changes only (routes, validation, database, spec). Leave the UI for the next row.</t>
  </si>
  <si>
    <t xml:space="preserve">1. Given the bridge is in api mode
2. When Settings loads
3. Then the headline says the Anthropic API is billed per token</t>
  </si>
  <si>
    <t>src/services/ai.js:163-171 · src/components/SettingsView.jsx:534-542 · src/components/SettingsView.jsx:1603-1614 · src/services/aiCredentials.js:66-69</t>
  </si>
  <si>
    <t xml:space="preserve">Start bridge with only an API key; check badge and headline.
Run: npm test</t>
  </si>
  <si>
    <t>Added a distinct bridge-api provider so a bridge running on an ANTHROPIC_API_KEY is no longer reported as claude-code: detectProvider now returns bridge-api in both the explicit and auto paths, providerLabel/providerHeadline say "billed per token" instead of "no API billing", and new canBrowse()/canGround()/isBridgeProvider() helpers mean a web or notebook-grounded request through an API-mode bridge comes back degraded instead of silently ungrounded. src/services/ai.js, src/services/aiProvider.test.mjs; 8 unit tests added.</t>
  </si>
  <si>
    <t>Settings → AI brain / AI access</t>
  </si>
  <si>
    <t>T-0018</t>
  </si>
  <si>
    <t>Bridge API mode is labelled as subscription billing — UI</t>
  </si>
  <si>
    <t xml:space="preserve">detectProvider maps a bridge whose aiMode is 'api' to 'claude-code', so the AI brain panel says 'Thinking on your Claude subscription — no API billing' while the bridge is actually calling the Anthropic API per token. Separately, MyCompanyAiStatus tells users without a company that AI is unavailable, but isAiAllowedForUser() returns true for them and the local bridge works.
Reproduction: Run the bridge with ANTHROPIC_API_KEY and no claude CLI; open Settings → AI brain.
Root cause: Provider enum conflates transport (bridge) with billing model.
Fix: Introduce provider 'bridge-api' (or carry health.aiMode through) and label accordingly; make the non-admin card read useAiStatus() instead of companyId presence.
Where to see it: Settings → AI brain / AI access
Risk of applying: Low — Label logic only. Recommendation: Proceed.
Scope of this row: client-side changes (pages, components, styles) that use the API from T-0017. Plain-language inputs only.</t>
  </si>
  <si>
    <t>Settings - AI brain now takes its headline from providerHeadline() in services/ai.js instead of writing its own, so a bridge on an API key reads "billed per token" and says how to get onto the subscription; the non-admin AI access card reads useAiStatus().available instead of profile.companyId, so bridge users with no company are no longer told AI is unavailable while every sparkle button works, and mock mode is labelled as placeholder rather than enabled. src/components/SettingsView.jsx, tests/ui/AiBrainPanel.test.mjs; 5 tests added.</t>
  </si>
  <si>
    <t>T-0019</t>
  </si>
  <si>
    <t>Bridge API mode is labelled as subscription billing — tests &amp; docs</t>
  </si>
  <si>
    <t>Add automated tests covering BUG-008 (API and, where possible, UI), update README.md/Implementation_plan.md status, append CHANGELOG.md.</t>
  </si>
  <si>
    <t>T-0017, T-0018</t>
  </si>
  <si>
    <t>Tests and docs for BUG-008: 13 tests cover the bridge-api provider, its label/headline, its capability gates and the non-admin card; CLAUDE.md gained a "provider is not transport" rule plus two Common Pitfalls (do not gate AI on companyId; do not treat bridge-api as claude-code), README gained the new suite row. CLAUDE.md, README.md, CHANGELOG.md.</t>
  </si>
  <si>
    <t>T-0020</t>
  </si>
  <si>
    <t>BUG-011</t>
  </si>
  <si>
    <t>Sidebar user block polls auth every 500 ms</t>
  </si>
  <si>
    <t xml:space="preserve">SidebarUserBlock sets a 500 ms interval to compare auth.currentUser instead of subscribing with onAuthStateChanged, causing constant timers and re-renders.
Reproduction: Open Performance tab; a timer fires twice per second forever.
Root cause: Polling instead of the existing onAuthChange helper.
Fix: Use onAuthChange(setUser) in the effect.
Where to see it: Sidebar footer
Risk of applying: Low — One component. Recommendation: Proceed.
Files: src/components/AppShell.jsx:372-381</t>
  </si>
  <si>
    <t xml:space="preserve">1. Given the app is idle
2. When profiling
3. Then no periodic auth polling timer exists</t>
  </si>
  <si>
    <t>src/components/AppShell.jsx:372-381</t>
  </si>
  <si>
    <t xml:space="preserve">Check that avatar/name still update after sign-in.
Run: npm test</t>
  </si>
  <si>
    <t>Sidebar user block now subscribes with onAuthChange instead of polling auth.currentUser every 500 ms (the poll re-rendered the sidebar twice a second forever and could not even detect what it was watching, since Firebase mutates currentUser in place); name, photo and email now prefer the live Firestore profile so an edit shows immediately. src/components/AppShell.jsx, tests/ui/SidebarUserBlock.test.mjs; 3 tests added.</t>
  </si>
  <si>
    <t>Sidebar footer</t>
  </si>
  <si>
    <t>T-0021</t>
  </si>
  <si>
    <t>IMP-006</t>
  </si>
  <si>
    <t>Docs</t>
  </si>
  <si>
    <t>Docs are stale and there is no root README — API/data layer</t>
  </si>
  <si>
    <t xml:space="preserve">No README.md exists at the repo root (CLAUDE.md and the bridge refer to one). docs/BUILD-GUIDE.md and package-scripts.md describe anonymous auth, GitHub Pages and a /task-monitor/ base path that no longer apply; CLAUDE.md lists Google sign-in and multi-user as out of scope though both exist; Settings → Webhooks references a FEATURE_ROADMAP.md that does not exist.
Reproduction: Follow BUILD-GUIDE Phase 7 rules or Phase 12 deploy: they conflict with firestore.rules and firebase.json.
Root cause: Docs not updated across the workspace/auth/hosting migrations.
Fix: Write README.md (install, .env, npm start, bridge, deploy, tests), delete or archive the two docs, refresh CLAUDE.md sections Architecture/Out of scope, remove the roadmap reference.
Where to see it: Repository
Risk of applying: Low — Docs only. Recommendation: Proceed.
Scope of this row: server-side changes only (routes, validation, database, spec). Leave the UI for the next row.</t>
  </si>
  <si>
    <t xml:space="preserve">1. Given a new developer
2. When they follow README.md
3. Then the app runs locally with sign-in in under 15 minutes</t>
  </si>
  <si>
    <t>docs/BUILD-GUIDE.md · docs/package-scripts.md · CLAUDE.md:234-243 · src/components/SettingsView.jsx:827-831</t>
  </si>
  <si>
    <t xml:space="preserve">Dry-run the README on a clean clone.
Run: npm test</t>
  </si>
  <si>
    <t>Repo docs brought back in line with the app: README.md rewritten as a real front door (run locally, Firebase config and the six env vars, first-superadmin approval flow, what every page does, workspaces and roles, tech, deploy, docs map, project structure, dev harnesses), docs/BUILD-GUIDE.md and docs/package-scripts.md moved to docs/archive/ with a note saying why they are wrong, and docs/firestore-schema.md marked as shape-only with its anonymous-auth and "multi-user is future work" passages corrected. README.md, docs/archive/*, docs/firestore-schema.md.</t>
  </si>
  <si>
    <t>Repository</t>
  </si>
  <si>
    <t>T-0022</t>
  </si>
  <si>
    <t>Docs are stale and there is no root README — UI</t>
  </si>
  <si>
    <t xml:space="preserve">No README.md exists at the repo root (CLAUDE.md and the bridge refer to one). docs/BUILD-GUIDE.md and package-scripts.md describe anonymous auth, GitHub Pages and a /task-monitor/ base path that no longer apply; CLAUDE.md lists Google sign-in and multi-user as out of scope though both exist; Settings → Webhooks references a FEATURE_ROADMAP.md that does not exist.
Reproduction: Follow BUILD-GUIDE Phase 7 rules or Phase 12 deploy: they conflict with firestore.rules and firebase.json.
Root cause: Docs not updated across the workspace/auth/hosting migrations.
Fix: Write README.md (install, .env, npm start, bridge, deploy, tests), delete or archive the two docs, refresh CLAUDE.md sections Architecture/Out of scope, remove the roadmap reference.
Where to see it: Repository
Risk of applying: Low — Docs only. Recommendation: Proceed.
Scope of this row: client-side changes (pages, components, styles) that use the API from T-0021. Plain-language inputs only.</t>
  </si>
  <si>
    <t>In-app copy no longer speaks to developers: the Webhooks panel says plainly that nothing is delivered yet instead of naming FEATURE_ROADMAP.md and a Cloud Function, all 29 "Check console." error messages became plain sentences routed through friendlyError(err, ...), and a failed CSV import now lists the line number, task and reason per failed row instead of "see console for details". Added tests/ui/copy.test.mjs, which fails the build if any screen names a repo file or tells a user to open the console. 14 components, src/services/firebase.js, tests/ui/copy.test.mjs; 3 guards added.</t>
  </si>
  <si>
    <t>T-0023</t>
  </si>
  <si>
    <t>Docs are stale and there is no root README — tests &amp; docs</t>
  </si>
  <si>
    <t>Add automated tests covering IMP-006 (API and, where possible, UI), update README.md/Implementation_plan.md status, append CHANGELOG.md.</t>
  </si>
  <si>
    <t>T-0021, T-0022</t>
  </si>
  <si>
    <t>Tests and docs for IMP-006: tests/ui/copy.test.mjs guards the three copy rules (no repo filenames, no "open the console", webhooks honest about delivery); CLAUDE.md gained a Common Pitfall pointing at friendlyError and that guard, README gained the suite row. The archived docs carry their own README explaining why they are wrong. CLAUDE.md, README.md, CHANGELOG.md.</t>
  </si>
  <si>
    <t>T-0024</t>
  </si>
  <si>
    <t>IMP-007</t>
  </si>
  <si>
    <t>Local run needs two commands and hidden Firebase config</t>
  </si>
  <si>
    <t xml:space="preserve">Running locally requires copying .env.example, then npm run dev AND npm run bridge in separate terminals; without .env the app crashes inside Firebase init with no readable message. The standing requirement is one install and one run command.
Reproduction: Fresh clone, npm install, npm run dev → console error auth/invalid-api-key and a blank page.
Root cause: No combined start script and no config guard.
Fix: Add npm start = concurrently 'vite' 'node bridge/server.mjs' (or a tiny node launcher), and in firebase.js detect a missing VITE_FIREBASE_PROJECT_ID and render a setup screen listing the six variables.
Where to see it: Local dev
Risk of applying: Low — Adds one devDependency (concurrently) or a script. Recommendation: Proceed.
Files: package.json:6-18 · src/services/firebase.js:47-56 · .env.example</t>
  </si>
  <si>
    <t xml:space="preserve">1. Given a clone with no .env
2. When npm start runs
3. Then the browser shows a setup page naming the missing variables instead of a blank page</t>
  </si>
  <si>
    <t>package.json:6-18 · src/services/firebase.js:47-56 · .env.example</t>
  </si>
  <si>
    <t xml:space="preserve">Remove .env and start; then add it and confirm normal boot.
Run: npm test</t>
  </si>
  <si>
    <t>One install, one run: added npm start (scripts/start.mjs, zero-dependency launcher that runs vite and the AI bridge together with prefixed output, treats the bridge as optional and takes both down on Ctrl-C), plus a config guard — main.jsx now calls readFirebaseConfig(import.meta.env) before importing anything that touches Firebase and renders SetupRequiredView naming each missing or still-example variable instead of dying inside the SDK with a white page. package.json, scripts/start.mjs, src/main.jsx, src/components/SetupRequiredView.jsx, src/services/firebaseConfig.js(+test), src/App.css, README.md, CLAUDE.md, tests/ui/SetupRequiredView.test.mjs; 15 tests added; verified by running npm start with .env removed.</t>
  </si>
  <si>
    <t>Local dev</t>
  </si>
  <si>
    <t>T-0025</t>
  </si>
  <si>
    <t>IMP-009</t>
  </si>
  <si>
    <t>Overdue notification memory grows forever</t>
  </si>
  <si>
    <t xml:space="preserve">useOverdueScan stores every shown task|date key in localStorage and never prunes; on long-lived devices this list grows unbounded and is scanned on every 5-minute tick.
Reproduction: Inspect localStorage task-monitor.notif.shown.v1 after months of use.
Root cause: No pruning.
Fix: Prune keys whose date is older than 30 days on load (mirroring loadAlertState).
Where to see it: Browser notifications
Risk of applying: Low — Local storage only. Recommendation: Proceed.
Files: src/hooks/useNotifications.js:42-48 · src/hooks/useNotifications.js:95-105</t>
  </si>
  <si>
    <t xml:space="preserve">1. Given shown keys older than 30 days
2. When the scan runs
3. Then they are dropped</t>
  </si>
  <si>
    <t>src/hooks/useNotifications.js:42-48 · src/hooks/useNotifications.js:95-105</t>
  </si>
  <si>
    <t xml:space="preserve">Seed old keys; run scan; inspect storage.
Run: npm test</t>
  </si>
  <si>
    <t>The browser-notification "already shown" set is now pruned on every read: pruneShownKeys() in services/dueAlerts.js drops keys whose due date is more than 30 days old plus anything malformed, keeps future dates so an early announcement never repeats, and the pruned set is written back on every scan including one with nothing due (saving only on a new notification is how it grew forever). src/services/dueAlerts.js(+test), src/hooks/useNotifications.js; 9 unit tests added.</t>
  </si>
  <si>
    <t>Browser notifications</t>
  </si>
  <si>
    <t>T-0026</t>
  </si>
  <si>
    <t>POL-003</t>
  </si>
  <si>
    <t>Polish</t>
  </si>
  <si>
    <t>CLI install instructions shown to every user — API/data layer</t>
  </si>
  <si>
    <t xml:space="preserve">KnowledgeSection (rendered for all roles) and the not-available hints show shell commands like pipx install notebooklm-py, npm i -g @anthropic-ai/claude-code and a Bridge URL. The knowledge base and bridge are operator-only concepts; regular users should see plain-language status, not code.
Reproduction: Sign in as a non-superadmin, open Settings → Knowledge base.
Root cause: Section not gated on role.
Fix: Render KnowledgeSection only for superadmins (or when bridgeOk); for others show 'Knowledge base: managed by your admin' with no commands.
Where to see it: Settings → Knowledge base
Risk of applying: Low — Conditional render. Recommendation: Proceed.
Scope of this row: server-side changes only (routes, validation, database, spec). Leave the UI for the next row.</t>
  </si>
  <si>
    <t xml:space="preserve">1. Given a regular user
2. When they open Settings
3. Then no shell commands or URLs are displayed</t>
  </si>
  <si>
    <t>src/components/SettingsView.jsx:406 · src/components/KnowledgeSection.jsx:42 · bridge/notebooklm.mjs:43-55 · src/services/knowledge.js:19-24</t>
  </si>
  <si>
    <t xml:space="preserve">Check Settings with a user role account.
Run: npm test</t>
  </si>
  <si>
    <t>Added the pure src/services/knowledgeCopy.js: knowledgeState() collapses the probe result into one of seven states, and knowledgeCopy(status, {isOperator}) returns either the operators runbook (title, message and the one shell command that moves that state forward) or a plain sentence for everyone else — no commands, no bridge URL, and the same wording for every unavailable reason so the internal cause is not leaked through five phrasings. src/services/knowledgeCopy.js(+test); 9 unit tests added.</t>
  </si>
  <si>
    <t>Settings → Knowledge base</t>
  </si>
  <si>
    <t>T-0027</t>
  </si>
  <si>
    <t>CLI install instructions shown to every user — UI</t>
  </si>
  <si>
    <t xml:space="preserve">KnowledgeSection (rendered for all roles) and the not-available hints show shell commands like pipx install notebooklm-py, npm i -g @anthropic-ai/claude-code and a Bridge URL. The knowledge base and bridge are operator-only concepts; regular users should see plain-language status, not code.
Reproduction: Sign in as a non-superadmin, open Settings → Knowledge base.
Root cause: Section not gated on role.
Fix: Render KnowledgeSection only for superadmins (or when bridgeOk); for others show 'Knowledge base: managed by your admin' with no commands.
Where to see it: Settings → Knowledge base
Risk of applying: Low — Conditional render. Recommendation: Proceed.
Scope of this row: client-side changes (pages, components, styles) that use the API from T-0026. Plain-language inputs only.</t>
  </si>
  <si>
    <t>Settings - Knowledge base is now told who is reading it: KnowledgeSection takes isOperator (true only for approved superadmins) and renders either the operator runbook or a single card saying whether a knowledge base is connected and that the admin sets it up — no shell commands, no bridge URL, no Re-check button for anyone else. The hardcoded INSTALL_CMDS list is gone; every command now comes from knowledgeCopy(). src/components/KnowledgeSection.jsx, src/components/SettingsView.jsx, tests/ui/KnowledgeSection.test.mjs; 6 tests added.</t>
  </si>
  <si>
    <t>T-0028</t>
  </si>
  <si>
    <t>CLI install instructions shown to every user — tests &amp; docs</t>
  </si>
  <si>
    <t>Add automated tests covering POL-003 (API and, where possible, UI), update README.md/Implementation_plan.md status, append CHANGELOG.md.</t>
  </si>
  <si>
    <t>T-0026, T-0027</t>
  </si>
  <si>
    <t>Tests and docs for POL-003: 15 tests cover the two audiences (9 on the copy module, 6 driving the real section in a DOM) and assert that no shell command, CLI name or bridge URL can reach a non-operator; CLAUDE.md gained a matching Common Pitfall, README notes the section is superadmin-only and lists the new suite. CLAUDE.md, README.md, CHANGELOG.md.</t>
  </si>
  <si>
    <t>T-0029</t>
  </si>
  <si>
    <t>POL-004</t>
  </si>
  <si>
    <t>Stale copy: anonymous session, email notification promise — API/data layer</t>
  </si>
  <si>
    <t xml:space="preserve">Settings says 'Anonymous session &lt;uid&gt;' although anonymous auth was removed; PendingApprovalView and LandingView promise 'we'll notify you by email when approved' but no email is ever sent; Settings subtitle says preferences are per-device while the page also manages workspaces, users and companies.
Reproduction: Read the texts on those screens.
Root cause: Copy not updated after auth changes.
Fix: Rewrite to 'Signed in as &lt;email&gt;'; change the approval copy to 'Check back later or ask an admin' or implement an approval email via a Cloud Function trigger on users status change.
Where to see it: Settings → Your data; Waiting for approval; Sign in
Risk of applying: Low — Copy only. Recommendation: Proceed.
Scope of this row: server-side changes only (routes, validation, database, spec). Leave the UI for the next row.</t>
  </si>
  <si>
    <t xml:space="preserve">1. Given the pending screen
2. When read
3. Then it makes no promise the system does not keep</t>
  </si>
  <si>
    <t>src/components/SettingsView.jsx:384-387 · src/components/PendingApprovalView.jsx:62-65 · src/components/LandingView.jsx:62-65 · src/components/SettingsView.jsx:228</t>
  </si>
  <si>
    <t xml:space="preserve">Visual review.
Run: npm test</t>
  </si>
  <si>
    <t>Added the pure src/services/approvalCopy.js: approvalCopy(profile) returns the right title, message and wait note for setting-up / pending / rejected — telling a pending user the honest thing (no email is sent, but the page lets them in the moment someone approves) instead of promising a notification nothing can send; sessionLine(profile, authUser) replaces "Anonymous session &lt;uid&gt;"; SETTINGS_SUBTITLE describes what the page really holds. src/services/approvalCopy.js(+test); 9 unit tests added, including a guard that no state promises an email.</t>
  </si>
  <si>
    <t>Settings → Your data; Waiting for approval; Sign in</t>
  </si>
  <si>
    <t>T-0030</t>
  </si>
  <si>
    <t>Stale copy: anonymous session, email notification promise — UI</t>
  </si>
  <si>
    <t xml:space="preserve">Settings says 'Anonymous session &lt;uid&gt;' although anonymous auth was removed; PendingApprovalView and LandingView promise 'we'll notify you by email when approved' but no email is ever sent; Settings subtitle says preferences are per-device while the page also manages workspaces, users and companies.
Reproduction: Read the texts on those screens.
Root cause: Copy not updated after auth changes.
Fix: Rewrite to 'Signed in as &lt;email&gt;'; change the approval copy to 'Check back later or ask an admin' or implement an approval email via a Cloud Function trigger on users status change.
Where to see it: Settings → Your data; Waiting for approval; Sign in
Risk of applying: Low — Copy only. Recommendation: Proceed.
Scope of this row: client-side changes (pages, components, styles) that use the API from T-0029. Plain-language inputs only.</t>
  </si>
  <si>
    <t>The three screens now say true things: the waiting screen and the sign-in fine print no longer promise an approval email (there is no backend to send one) and instead say the page lets you in the moment someone approves — which the live profile subscription already does; a declined account is no longer told to keep waiting, and a profile still arriving is no longer rendered as a rejection; Settings says "Signed in as &lt;name&gt; (&lt;email&gt;)" instead of "Anonymous session &lt;uid&gt;" and its subtitle describes what the page actually holds. src/components/{PendingApprovalView,LandingView,SettingsView}.jsx, tests/ui/approvalScreens.test.mjs; 9 tests added.</t>
  </si>
  <si>
    <t>T-0031</t>
  </si>
  <si>
    <t>Stale copy: anonymous session, email notification promise — tests &amp; docs</t>
  </si>
  <si>
    <t>Add automated tests covering POL-004 (API and, where possible, UI), update README.md/Implementation_plan.md status, append CHANGELOG.md.</t>
  </si>
  <si>
    <t>T-0029, T-0030</t>
  </si>
  <si>
    <t>Tests and docs for POL-004: 18 tests cover the approval copy (9 pure, 9 driving the real screens), including a repo-wide guard that no component may promise an approval email; CLAUDE.md gained two Common Pitfalls (do not promise what the app cannot do; the session is not anonymous), README lists the new suite. CLAUDE.md, README.md, CHANGELOG.md.</t>
  </si>
  <si>
    <t>T-0032</t>
  </si>
  <si>
    <t>POL-005</t>
  </si>
  <si>
    <t>Package version and deploy account hardcoded</t>
  </si>
  <si>
    <t xml:space="preserve">package.json version is 0.0.0 while the product is at v0.1; the deploy script hardcodes a personal Gmail account, and the topbar has no version/about indicator for support.
Reproduction: npm run deploy on another machine fails on the account flag.
Root cause: Scripts written for one operator.
Fix: Set version 0.1.0, read the account from an env var (FIREBASE_ACCOUNT) and show the version in Settings → About.
Where to see it: Settings → About
Risk of applying: Low — Scripts only. Recommendation: Proceed.
Files: package.json:5 · package.json:14-17</t>
  </si>
  <si>
    <t xml:space="preserve">1. Given Settings → About
2. When opened
3. Then it shows v0.2.0 matching package.json</t>
  </si>
  <si>
    <t>package.json:5 · package.json:14-17</t>
  </si>
  <si>
    <t xml:space="preserve">Check about section; run deploy with the env var.
Run: npm test</t>
  </si>
  <si>
    <t>Version and deploy account are no longer hardcoded: package.json is 0.2.0, vite.config.js bakes it (and the build date) in as __APP_VERSION__/__BUILD_DATE__ so Settings - About and the sidebar footer always show the build that actually shipped, and the three deploy scripts now go through scripts/firebase-deploy.mjs which reads FIREBASE_ACCOUNT instead of a personal Gmail address, also covers storage:rules, and explains a missing CLI. package.json, vite.config.js, scripts/firebase-deploy.mjs, src/services/appVersion.js(+test), src/components/{SettingsView,AppShell}.jsx, src/App.css, README.md; 6 tests added.</t>
  </si>
  <si>
    <t>Settings → About</t>
  </si>
  <si>
    <t>T-0033</t>
  </si>
  <si>
    <t>BUG-010</t>
  </si>
  <si>
    <t>v0.3</t>
  </si>
  <si>
    <t>Board cards each open their own workspace listeners</t>
  </si>
  <si>
    <t xml:space="preserve">AssigneeBadges (rendered per card) calls useWorkspaces(), which registers an auth listener, a workspaces onSnapshot and the migration check for every card; each expanded card's useActivities subscribes to the entire workspace activities collection (up to 500 docs) and filters client-side. With 200 cards this means hundreds of listeners and repeated sorting on each snapshot.
Reproduction: Open Kanban with 150+ tasks and watch React profiler / Firestore listener count.
Root cause: Hooks are used as data sources inside list items; no shared store.
Fix: Lift workspace/memberProfiles into a context provided once by AppShell; pass memberProfiles down to cards; make useActivities(taskId) derive from the single useAllActivities subscription.
Where to see it: Kanban
Risk of applying: Medium — Touches shared hooks used by many views. Recommendation: Proceed.
Files: src/components/Board.jsx:638-643 · src/hooks/useWorkspace.js:64-110 · src/hooks/useTasks.js:209-233</t>
  </si>
  <si>
    <t xml:space="preserve">1. Given 200 tasks on the Board
2. When the view renders
3. Then only one workspaces listener and one activities listener exist</t>
  </si>
  <si>
    <t>src/components/Board.jsx:638-643 · src/hooks/useWorkspace.js:64-110 · src/hooks/useTasks.js:209-233</t>
  </si>
  <si>
    <t xml:space="preserve">Count onSnapshot registrations via a debug counter in firebase.js; profile render time before/after.
Run: npm test</t>
  </si>
  <si>
    <t>Board no longer opens a listener per card: added the ref-counted src/services/sharedSubscription.js and routed the auth state, workspaces, tasks, projects and workspace-activities subscriptions through it, so one Firestore query serves any number of components and useActivities(taskId) now derives from the single workspace-wide activities listener instead of opening its own and filtering client-side; late subscribers get the current value immediately instead of a blank frame. src/services/sharedSubscription.js(+test), src/hooks/{useWorkspace,useTasks}.js, tests/ui/sharedListeners.test.mjs; 17 tests added. Also de-flaked bridge/settings.test.mjs (a 1-in-16 token collision).</t>
  </si>
  <si>
    <t>Kanban</t>
  </si>
  <si>
    <t>Medium</t>
  </si>
  <si>
    <t>T-0034</t>
  </si>
  <si>
    <t>IMP-001</t>
  </si>
  <si>
    <t>Company Anthropic key is shipped to every member's browser — API/data layer</t>
  </si>
  <si>
    <t xml:space="preserve">AI calls in 'api' mode run directly from the browser with the company key and the anthropic-dangerous-direct-browser-access header. Any member can read the key from Network tab or the company doc and use it outside the app; budgets cannot be enforced.
Reproduction: As a company member open DevTools → Network while pressing Plan my day; the x-api-key header is visible.
Root cause: No backend; key distributed via Firestore to clients.
Fix: Add a Cloud Function (or Firebase callable) proxy that holds the key server-side, checks the caller's users doc (approved + companyId + aiEnabled) and forwards to Anthropic; client calls the function instead of api.anthropic.com. Keep the local bridge path for the operator.
Where to see it: Settings → AI access / any ✨ button
Risk of applying: High — Introduces a backend dependency and billing; rules for companies read change. Recommendation: On-Hold.
Scope of this row: server-side changes only (routes, validation, database, spec). Leave the UI for the next row.</t>
  </si>
  <si>
    <t xml:space="preserve">1. Given a company member
2. When they use any AI feature
3. Then no API key is present in the browser or Firestore client reads</t>
  </si>
  <si>
    <t>src/services/ai.js:253-293 · src/services/aiCredentials.js:71-76 · src/hooks/useCompany.js:37-48</t>
  </si>
  <si>
    <t>L</t>
  </si>
  <si>
    <t xml:space="preserve">After migration, grep the bundle and Network tab for 'x-api-key'; verify AI still works for a member.
Run: npm test</t>
  </si>
  <si>
    <t>The company Anthropic key no longer reaches any browser. It moved from the company document (readable by every member) to companies/{id}/secrets/anthropic, which firestore.rules opens only to superadmins; a new Cloud Function (functions/index.js, aiProxy) holds it server-side, checks the caller (approved + company + aiEnabled + key present) via the pure functions/src/authorize.js, clamps the token budget, forwards to Anthropic, never echoes the upstream body, and writes an aiUsage record a member cannot forge. The client gained a proxy provider and src/services/aiProxyClient.js that sends only the prompt; aiCredentials no longer stores a company key at all and getEffectiveApiKey() returns only a superadmins own device key; updateCompany writes the secret and records hasApiKey, with migrateCompanyKeys() to move existing keys and delete the field. NOTE FOR REVIEW: deploying the function needs the Firebase Blaze plan, and CLAUDE.md currently lists a backend as out of scope — that line needs your decision. functions/**, firestore.rules, src/services/{ai,aiCredentials,aiProxyClient,firebase}.js, src/hooks/useCompany.js, firebase.json, package.json, scripts/firebase-deploy.mjs; 30 tests added (14 function, 8 client, 8 emulator).</t>
  </si>
  <si>
    <t>Settings → AI access / any ✨ button</t>
  </si>
  <si>
    <t>T-0035</t>
  </si>
  <si>
    <t>Company Anthropic key is shipped to every member's browser — UI</t>
  </si>
  <si>
    <t xml:space="preserve">AI calls in 'api' mode run directly from the browser with the company key and the anthropic-dangerous-direct-browser-access header. Any member can read the key from Network tab or the company doc and use it outside the app; budgets cannot be enforced.
Reproduction: As a company member open DevTools → Network while pressing Plan my day; the x-api-key header is visible.
Root cause: No backend; key distributed via Firestore to clients.
Fix: Add a Cloud Function (or Firebase callable) proxy that holds the key server-side, checks the caller's users doc (approved + companyId + aiEnabled) and forwards to Anthropic; client calls the function instead of api.anthropic.com. Keep the local bridge path for the operator.
Where to see it: Settings → AI access / any ✨ button
Risk of applying: High — Introduces a backend dependency and billing; rules for companies read change. Recommendation: On-Hold.
Scope of this row: client-side changes (pages, components, styles) that use the API from T-0034. Plain-language inputs only.</t>
  </si>
  <si>
    <t>Settings - Companies no longer renders a stored key: the API-key box starts empty and means "replace it with this" (blank leaves the existing key alone rather than wiping it), key presence comes from a hasApiKey flag, the model became a dropdown instead of a free-text box that a typo could break, the copy now says the key is held on the server and members never receive it, and opening the panel runs the one-off migration that moves any key still on a company document into the secret and deletes it. User management and the AI-access card read the flag too. src/components/SettingsView.jsx, tests/ui/companyKey.test.mjs; 8 tests added.</t>
  </si>
  <si>
    <t>T-0036</t>
  </si>
  <si>
    <t>Company Anthropic key is shipped to every member's browser — tests &amp; docs</t>
  </si>
  <si>
    <t>Add automated tests covering IMP-001 (API and, where possible, UI), update README.md/Implementation_plan.md status, append CHANGELOG.md.</t>
  </si>
  <si>
    <t>T-0034, T-0035</t>
  </si>
  <si>
    <t>Tests and docs for IMP-001: 30 tests across the function authorizer, the client and the emulator, including guards that the browser never holds a company key and the built bundle contains no sk-ant string; CLAUDE.md gained the AI-proxy entry, the "a company key never reaches a browser" rule, a rewritten Out-of-Scope line explaining that functions/ is the single deliberate exception, and a Common Pitfall; README documents the five providers, the proxy and npm run deploy:functions. CLAUDE.md, README.md, CHANGELOG.md.</t>
  </si>
  <si>
    <t>T-0037</t>
  </si>
  <si>
    <t>IMP-003</t>
  </si>
  <si>
    <t>Whole-collection subscriptions will not scale — API/data layer</t>
  </si>
  <si>
    <t xml:space="preserve">Every list (tasks, activities, minutes, goals) is fetched with a single equality filter and sorted/filtered in the browser; subscribeToAllActivities reads every activity then slices 500. No firestore.indexes.json exists. Cost and memory grow linearly with workspace history, and Analytics/Review re-read everything on every change.
Reproduction: Import 5,000 activities via CSV; open Activity Log and Dashboard and observe read counts and lag.
Root cause: Avoiding composite indexes by design; no pagination.
Fix: Add firestore.indexes.json (workspaceId+date desc, workspaceId+status, taskId+date), use orderBy/limit with cursor pagination in Table and Work Performed, and keep Dashboard on a 30-day window query.
Where to see it: Activity Log; Dashboard; Analytics
Risk of applying: Medium — Requires index deploy and changes to shared subscription API. Recommendation: Proceed.
Scope of this row: server-side changes only (routes, validation, database, spec). Leave the UI for the next row.</t>
  </si>
  <si>
    <t xml:space="preserve">1. Given a workspace with 10,000 activities
2. When Activity Log opens
3. Then only the first page (e.g. 200 rows) is read and Load more fetches the next</t>
  </si>
  <si>
    <t>src/services/firebase.js:1129-1148 · src/services/firebase.js:1279-1302 · firebase.json</t>
  </si>
  <si>
    <t xml:space="preserve">Seed data in the emulator; watch reads in the Firestore usage tab.
Run: npm test</t>
  </si>
  <si>
    <t>Activity queries are now bounded by Firestore instead of by the browser: subscribeToAllActivities and subscribeToRecentActivities use orderBy(date desc) + limit (and a server-side date bound for the 30-day window) rather than downloading the whole collection and slicing it, and a new one-shot loadMoreActivities(workspaceId, beforeDate) pages older history with startAfter plus an extra row so the caller knows whether to offer "Load more". Added firestore.indexes.json with the eight composite indexes those queries need, wired into firebase.json and npm run deploy:indexes. src/services/firebase.js, firestore.indexes.json, firebase.json, package.json, scripts/firebase-deploy.mjs, src/services/firestoreQueries.test.mjs; 9 tests added.</t>
  </si>
  <si>
    <t>Activity Log; Dashboard; Analytics</t>
  </si>
  <si>
    <t>T-0038</t>
  </si>
  <si>
    <t>Whole-collection subscriptions will not scale — UI</t>
  </si>
  <si>
    <t xml:space="preserve">Every list (tasks, activities, minutes, goals) is fetched with a single equality filter and sorted/filtered in the browser; subscribeToAllActivities reads every activity then slices 500. No firestore.indexes.json exists. Cost and memory grow linearly with workspace history, and Analytics/Review re-read everything on every change.
Reproduction: Import 5,000 activities via CSV; open Activity Log and Dashboard and observe read counts and lag.
Root cause: Avoiding composite indexes by design; no pagination.
Fix: Add firestore.indexes.json (workspaceId+date desc, workspaceId+status, taskId+date), use orderBy/limit with cursor pagination in Table and Work Performed, and keep Dashboard on a 30-day window query.
Where to see it: Activity Log; Dashboard; Analytics
Risk of applying: Medium — Requires index deploy and changes to shared subscription API. Recommendation: Proceed.
Scope of this row: client-side changes (pages, components, styles) that use the API from T-0037. Plain-language inputs only.</t>
  </si>
  <si>
    <t>useAllActivities now pages: the live listener holds one page of the newest entries and loadMore() appends older ones with a one-shot read, hasMore is false unless a full page came back (so "Load more" is never offered at the end), switching workspace drops the fetched pages during render, and the merged list stays newest-first. Activity table and Work Performed each gained a "Load older…" row that explains in plain words why history is not all on screen. src/hooks/useTasks.js, src/components/{TableView,WorkPerformedView}.jsx, src/App.css, tests/ui/activityPaging.test.mjs; 10 tests added.</t>
  </si>
  <si>
    <t>T-0039</t>
  </si>
  <si>
    <t>Whole-collection subscriptions will not scale — tests &amp; docs</t>
  </si>
  <si>
    <t>Add automated tests covering IMP-003 (API and, where possible, UI), update README.md/Implementation_plan.md status, append CHANGELOG.md.</t>
  </si>
  <si>
    <t>T-0037, T-0038</t>
  </si>
  <si>
    <t>Tests and docs for IMP-003: 19 tests cover the bounded queries, the index file and the paging UI; CLAUDE.md gained "bound every query at the server" as rule 5, a rewritten composite-index rule pointing at firestore.indexes.json, and a matching Common Pitfall; README documents npm run deploy:indexes and the two new suites. CLAUDE.md, README.md, CHANGELOG.md.</t>
  </si>
  <si>
    <t>T-0040</t>
  </si>
  <si>
    <t>MISS-001</t>
  </si>
  <si>
    <t>Missing feature</t>
  </si>
  <si>
    <t>Members are added by raw Firebase UID, not email — API/data layer</t>
  </si>
  <si>
    <t xml:space="preserve">Workspace members and project sharing require pasting an Account ID (Firebase UID). The Sharing panel lists members as truncated UIDs, and the workspace doc has a pendingInvites field that is never used. Non-technical users are shown opaque identifiers.
Reproduction: Settings → Workspaces → Members → Add member by Account ID.
Root cause: No server-side email→uid lookup.
Fix: Add a Cloud Function inviteByEmail that resolves users by email (or writes pendingInvites and auto-joins on next sign-in via ensureUserProfile), show names/emails instead of UIDs, and keep UID entry under an Advanced toggle for superadmins only.
Where to see it: Settings → Workspaces → Members; Project editor → Sharing
Risk of applying: High — Touches ACL writes and rules for pendingInvites. Recommendation: On-Hold.
Scope of this row: server-side changes only (routes, validation, database, spec). Leave the UI for the next row.</t>
  </si>
  <si>
    <t xml:space="preserve">1. Given a workspace admin
2. When they type a teammate's email and role
3. Then the teammate is added (or pending) and appears by name</t>
  </si>
  <si>
    <t>src/components/SettingsView.jsx:1116-1137 · src/components/ProjectsView.jsx:626-650 · src/components/ProjectsView.jsx:730-751 · src/services/firebase.js:386-402</t>
  </si>
  <si>
    <t xml:space="preserve">Invite an existing and a not-yet-signed-in email; verify both paths.
Run: npm test</t>
  </si>
  <si>
    <t>Members can be invited by email instead of by raw Firebase UID, with no backend: an admin records the invitation on the workspace (pendingInvites for the record, pendingInviteEmails so array-contains can find it, pendingInviteRoles so the security rule can check the role) and the invited person joins themselves at sign-in and on app load via claimPendingWorkspaceInvites. The new isClaimingWorkspaceInvite() rule lets them add exactly themselves, at exactly the role offered, only if the invitation names their address, and only if the invitation is consumed — they cannot promote themselves, bring anyone else, or touch the workspace on the way in. src/services/invites.js(+test), src/services/firebase.js, src/hooks/useWorkspace.js, firestore.rules, tests/rules/workspaceInvite.rules.test.mjs; 26 tests added (15 unit, 11 emulator).</t>
  </si>
  <si>
    <t>Settings → Workspaces → Members; Project editor → Sharing</t>
  </si>
  <si>
    <t>T-0041</t>
  </si>
  <si>
    <t>Members are added by raw Firebase UID, not email — UI</t>
  </si>
  <si>
    <t xml:space="preserve">Workspace members and project sharing require pasting an Account ID (Firebase UID). The Sharing panel lists members as truncated UIDs, and the workspace doc has a pendingInvites field that is never used. Non-technical users are shown opaque identifiers.
Reproduction: Settings → Workspaces → Members → Add member by Account ID.
Root cause: No server-side email→uid lookup.
Fix: Add a Cloud Function inviteByEmail that resolves users by email (or writes pendingInvites and auto-joins on next sign-in via ensureUserProfile), show names/emails instead of UIDs, and keep UID entry under an Advanced toggle for superadmins only.
Where to see it: Settings → Workspaces → Members; Project editor → Sharing
Risk of applying: High — Touches ACL writes and rules for pendingInvites. Recommendation: On-Hold.
Scope of this row: client-side changes (pages, components, styles) that use the API from T-0040. Plain-language inputs only.</t>
  </si>
  <si>
    <t>The workspace members screen now speaks in names and emails: the primary control is "Invite someone by email" with a role dropdown and inline validation, pending invitations are listed with who they are for and what role they join at plus a withdraw button, member rows use memberLabel/memberSubLabel (name, then email, never a raw UID), the Account ID box moved behind an Advanced toggle visible only to superadmins, and the screen says plainly that no email is sent so nobody waits for one. src/components/SettingsView.jsx, tests/ui/workspaceMembers.test.mjs; 10 tests added.</t>
  </si>
  <si>
    <t>T-0042</t>
  </si>
  <si>
    <t>Members are added by raw Firebase UID, not email — tests &amp; docs</t>
  </si>
  <si>
    <t>Add automated tests covering MISS-001 (API and, where possible, UI), update README.md/Implementation_plan.md status, append CHANGELOG.md.</t>
  </si>
  <si>
    <t>T-0040, T-0041</t>
  </si>
  <si>
    <t>Tests and docs for MISS-001: 36 tests cover the invite rules, the claim (11 emulator cases including the role-escalation attempt that first got through) and the UI; CLAUDE.md gained the three new workspace fields in the data model, moved invite-by-email out of Out-of-Scope into shipped, and gained two Common Pitfalls (never ask for a UID; never write an invite field without its flat twin); README documents the flow and the two new permission rows. CLAUDE.md, README.md, CHANGELOG.md.</t>
  </si>
  <si>
    <t>T-0043</t>
  </si>
  <si>
    <t>MISS-002</t>
  </si>
  <si>
    <t>API</t>
  </si>
  <si>
    <t>Webhooks are stored but never delivered — API/data layer</t>
  </si>
  <si>
    <t xml:space="preserve">Settings → Webhooks lets users create webhooks with events and secrets, but nothing ever sends an HTTP request; the copy admits delivery 'requires a Cloud Function'. This is dead UI that promises integrations (Slack, Make) that do not happen.
Reproduction: Create a webhook to a request-bin URL, complete a task: nothing arrives.
Root cause: No backend trigger.
Fix: Either hide the section behind a feature flag until built, or add a Firestore-triggered Cloud Function that POSTs {event, task, workspace} with HMAC signature and a delivery log shown in the UI.
Where to see it: Settings → Webhooks
Risk of applying: High — New backend with outbound HTTP; secrets storage. Recommendation: On-Hold.
Scope of this row: server-side changes only (routes, validation, database, spec). Leave the UI for the next row.</t>
  </si>
  <si>
    <t xml:space="preserve">1. Given an enabled webhook for task.completed
2. When a task is marked done
3. Then the URL receives a signed POST within 10 s and the log shows 200</t>
  </si>
  <si>
    <t>src/components/SettingsView.jsx:820-869 · src/services/firebase.js:1941-1978</t>
  </si>
  <si>
    <t xml:space="preserve">Use a request bin; verify signature with the secret.
Run: npm test</t>
  </si>
  <si>
    <t>Webhooks are delivered for real. Two Firestore triggers (functions/webhooks.js, onTaskWritten and onActivityWritten) work out what happened via the pure functions/src/webhookEvents.js, fan out to the workspaces matching hooks, sign the exact body with HMAC-SHA256 under each hooks own secret (x-taskmonitor-signature), retry only transient failures on a 0/30/300s backoff, and write every attempt to webhookDeliveries with a sentence an admin can act on. Guards: https only, no loopback or private-network addresses, a fixed payload shape rather than the whole document, and counters the app bumps do not fire task.updated. Added rules for the read-only delivery log, two composite indexes, and subscribeToWebhookDeliveries. functions/{index,webhooks}.js, functions/src/webhookEvents.js(+2 test files), firestore.rules, firestore.indexes.json, src/services/firebase.js; 25 tests added.</t>
  </si>
  <si>
    <t>Settings → Webhooks</t>
  </si>
  <si>
    <t>T-0044</t>
  </si>
  <si>
    <t>Webhooks are stored but never delivered — UI</t>
  </si>
  <si>
    <t xml:space="preserve">Settings → Webhooks lets users create webhooks with events and secrets, but nothing ever sends an HTTP request; the copy admits delivery 'requires a Cloud Function'. This is dead UI that promises integrations (Slack, Make) that do not happen.
Reproduction: Create a webhook to a request-bin URL, complete a task: nothing arrives.
Root cause: No backend trigger.
Fix: Either hide the section behind a feature flag until built, or add a Firestore-triggered Cloud Function that POSTs {event, task, workspace} with HMAC signature and a delivery log shown in the UI.
Where to see it: Settings → Webhooks
Risk of applying: High — New backend with outbound HTTP; secrets storage. Recommendation: On-Hold.
Scope of this row: client-side changes (pages, components, styles) that use the API from T-0043. Plain-language inputs only.</t>
  </si>
  <si>
    <t>Settings - Webhooks now reports reality: the "Not sending yet" warning is gone, the copy explains in plain words that each message is signed with your secret so the other tool can check it, every webhook row shows whether its last attempt was delivered or failed, and a "Delivery history" panel lists the last 50 attempts (event, target, the outcome sentence the function wrote, retry count and time) read from the read-only webhookDeliveries log, subscribed only while the panel is open. Also fixed an undefined isSuperadmin in WorkspacesSection found by lint. src/components/SettingsView.jsx, src/App.css, tests/ui/webhookDelivery.test.mjs; 11 tests added.</t>
  </si>
  <si>
    <t>T-0045</t>
  </si>
  <si>
    <t>Webhooks are stored but never delivered — tests &amp; docs</t>
  </si>
  <si>
    <t>Add automated tests covering MISS-002 (API and, where possible, UI), update README.md/Implementation_plan.md status, append CHANGELOG.md.</t>
  </si>
  <si>
    <t>T-0043, T-0044</t>
  </si>
  <si>
    <t>Tests and docs for MISS-002: 36 tests cover event selection, payload shape, URL safety, retry policy, the HMAC and the UI; CLAUDE.md gained the webhook functions in the AI/provider map, moved webhook delivery out of Out-of-Scope into shipped, and gained a Common Pitfall about firing task.updated for app-written counters; README gained a Webhooks section explaining the signature, the retry policy and the delivery log in terms a receiver implementer can act on. CLAUDE.md, README.md, CHANGELOG.md.</t>
  </si>
  <si>
    <t>T-0046</t>
  </si>
  <si>
    <t>MISS-003</t>
  </si>
  <si>
    <t>No Word, Excel, PDF or Markdown exports — API/data layer</t>
  </si>
  <si>
    <t xml:space="preserve">The only deliverables are CSV (activities, WBS) and a developer JSON dump. Review summaries, status updates, minutes, goals and task lists cannot be saved as .docx/.xlsx/.pdf/.md, which Notion, Airtable and Monday all offer.
Reproduction: Review → Summarize this period: only Copy is offered.
Root cause: No export layer.
Fix: Add src/services/exporters.js using docx, exceljs/xlsx and jspdf (dynamic imports) with a shared downloadFile(name-YYYY-MM-DD.ext); wire: Tasks/Projects → xlsx; Review/AI outputs → docx/md/pdf; Minutes → docx/pdf; Goals → pdf.
Where to see it: Review; Minutes; Goals; Activity Log; Projects
Risk of applying: Medium — Adds dependencies to the bundle; use lazy imports. Recommendation: Proceed.
Scope of this row: server-side changes only (routes, validation, database, spec). Leave the UI for the next row.</t>
  </si>
  <si>
    <t xml:space="preserve">1. Given a Review summary
2. When Download .docx is clicked
3. Then a file named review-summary-YYYY-MM-DD.docx opens in Word with headings and bullets</t>
  </si>
  <si>
    <t>src/components/SettingsView.jsx:792-810 · src/components/ReviewView.jsx:310-316 · src/components/MinutesView.jsx · src/components/GoalsView.jsx</t>
  </si>
  <si>
    <t xml:space="preserve">Export each format and open in Word/Excel/Preview.
Run: npm test</t>
  </si>
  <si>
    <t>Added src/services/exporters.js: one document model (heading/paragraph/bullets/table/keyValues) rendered to seven formats — .xlsx (exceljs, bold frozen header, autofilter, sized columns), .docx (docx), .pdf (jspdf + autotable, real pagination), .md, .html (self-contained, escaped), .txt and .csv — with the three heavy libraries behind dynamic imports so they cost nothing until someone exports, and every file named through downloadFile so it is date-stamped. Verified by decoding the actual bytes: the xlsx is loaded back with exceljs and its cells checked, the docx is confirmed to be a zip containing [Content_Types].xml and word/document.xml, the pdf starts %PDF- and a 200-row table spans several pages. src/services/exporters.js(+test), tests/ui/exporters.test.mjs, package.json; 27 tests added.</t>
  </si>
  <si>
    <t>Review; Minutes; Goals; Activity Log; Projects</t>
  </si>
  <si>
    <t>T-0047</t>
  </si>
  <si>
    <t>No Word, Excel, PDF or Markdown exports — UI</t>
  </si>
  <si>
    <t xml:space="preserve">The only deliverables are CSV (activities, WBS) and a developer JSON dump. Review summaries, status updates, minutes, goals and task lists cannot be saved as .docx/.xlsx/.pdf/.md, which Notion, Airtable and Monday all offer.
Reproduction: Review → Summarize this period: only Copy is offered.
Root cause: No export layer.
Fix: Add src/services/exporters.js using docx, exceljs/xlsx and jspdf (dynamic imports) with a shared downloadFile(name-YYYY-MM-DD.ext); wire: Tasks/Projects → xlsx; Review/AI outputs → docx/md/pdf; Minutes → docx/pdf; Goals → pdf.
Where to see it: Review; Minutes; Goals; Activity Log; Projects
Risk of applying: Medium — Adds dependencies to the bundle; use lazy imports. Recommendation: Proceed.
Scope of this row: client-side changes (pages, components, styles) that use the API from T-0046. Plain-language inputs only.</t>
  </si>
  <si>
    <t>Export is now a first-class control on the pages that produce something worth keeping: a reusable ExportButton (format menu, aria menu semantics, click-outside/Escape, spinner, and the saved filename afterwards) wired into Review (full status report with hours by project, completed, overdue, blockers — plus three Excel sheets), Board/Gantt (the on-screen task list with filters applied, grouped by project for reading and flat for Excel, via the new src/services/taskExport.js), Minutes (attendees, notes, decisions, action-item table, points raised — src/services/minutesExport.js) and Goals (initiative, KPI, change agenda, deliverables with averaged project progress). build() runs only when a format is picked, and only deliberate export errors are shown to the user. The JSON dump is relabelled "Backup everything (.json)". src/components/ExportButton.jsx, src/services/{taskExport,minutesExport,exporters}.js(+tests), src/components/{ReviewView,Board,MinutesView,GoalsView,SettingsView}.jsx, src/App.css, tests/ui/exportButtons.test.mjs; 37 tests added.</t>
  </si>
  <si>
    <t>T-0048</t>
  </si>
  <si>
    <t>No Word, Excel, PDF or Markdown exports — tests &amp; docs</t>
  </si>
  <si>
    <t>Add automated tests covering MISS-003 (API and, where possible, UI), update README.md/Implementation_plan.md status, append CHANGELOG.md.</t>
  </si>
  <si>
    <t>T-0046, T-0047</t>
  </si>
  <si>
    <t>Tests and docs for MISS-003: 47 tests cover the document model, the three builders and the button, plus ten that decode the produced .xlsx/.docx/.pdf bytes to prove they are valid files; CLAUDE.md gained an Exports section (the module map, the dynamic-import rule with the actual chunk sizes, the downloadFile rule and the exportError rule) plus a matching Common Pitfall; README gained a "Getting work out of the app" table of every page, what it produces and in which formats. CLAUDE.md, README.md, CHANGELOG.md.</t>
  </si>
  <si>
    <t>T-0049</t>
  </si>
  <si>
    <t>NEW-001</t>
  </si>
  <si>
    <t>New feature</t>
  </si>
  <si>
    <t>Configurable table views with columns, group and sort — API/data layer</t>
  </si>
  <si>
    <t xml:space="preserve">Airtable and Notion let every saved view carry its own visible columns, grouping and sort. Saved views here only store project/tag/status. For 'anyone with a process to run', a Table of tasks (not just activities) with per-view columns is the core reporting surface.
Reproduction: n/a (new feature)
Root cause: n/a
Fix: Add a Tasks table view with column picker, group-by (project/phase/assignee/status) and persist {columns, groupBy, sort} on savedViews.
Where to see it: Reports → Tasks table (new)
Risk of applying: Medium — Extends savedViews schema (additive). Recommendation: Proceed.
Scope of this row: server-side changes only (routes, validation, database, spec). Leave the UI for the next row.</t>
  </si>
  <si>
    <t xml:space="preserve">1. Given a saved view
2. When reopened
3. Then the same columns, grouping and sort are restored</t>
  </si>
  <si>
    <t>src/services/firebase.js:1854-1903 · src/components/TableView.jsx</t>
  </si>
  <si>
    <t xml:space="preserve">Create two views with different columns; switch between them.
Run: npm test</t>
  </si>
  <si>
    <t>Saved views can now remember a table, not just filters: new src/services/tableViews.js defines 13 task columns (each with its own display text and a sort value, so Status reads To do -&gt; In progress -&gt; Done rather than alphabetically), six grouping options, and pure sortTasks/groupTasks/rowCells/headerCells/toggleSort; normalizeTableConfig makes any stored config renderable (unknown columns dropped, the title never hideable, blanks sorting last in both directions) and tableConfigFields keeps only the four fields that belong in Firestore. addSavedView persists columns and groupBy alongside the existing sort. src/services/tableViews.js(+test), src/services/firebase.js; 24 unit tests added.</t>
  </si>
  <si>
    <t>Reports → Tasks table (new)</t>
  </si>
  <si>
    <t>T-0050</t>
  </si>
  <si>
    <t>Configurable table views with columns, group and sort — UI</t>
  </si>
  <si>
    <t xml:space="preserve">Airtable and Notion let every saved view carry its own visible columns, grouping and sort. Saved views here only store project/tag/status. For 'anyone with a process to run', a Table of tasks (not just activities) with per-view columns is the core reporting surface.
Reproduction: n/a (new feature)
Root cause: n/a
Fix: Add a Tasks table view with column picker, group-by (project/phase/assignee/status) and persist {columns, groupBy, sort} on savedViews.
Where to see it: Reports → Tasks table (new)
Risk of applying: Medium — Extends savedViews schema (additive). Recommendation: Proceed.
Scope of this row: client-side changes (pages, components, styles) that use the API from T-0049. Plain-language inputs only.</t>
  </si>
  <si>
    <t>New Reports - Task table: every task as a report you shape yourself — a column picker (tick to show, arrows to reorder, title locked on, reset to default), group-by project/phase/status/priority/assignee with counted headings in meaningful order, click-any-header sorting with aria-sort, click a row to open the task, Export to spreadsheet/CSV/PDF, and "Save as view" / "Update this view" which persists only the four table fields. Opening a saved view restores its exact columns, grouping and sort; switching between two swaps the table during render. src/components/TasksTableView.jsx, src/App.jsx, src/components/AppShell.jsx, src/App.css, tests/ui/tasksTable.test.mjs; 12 tests added.</t>
  </si>
  <si>
    <t>T-0051</t>
  </si>
  <si>
    <t>Configurable table views with columns, group and sort — tests &amp; docs</t>
  </si>
  <si>
    <t>Add automated tests covering NEW-001 (API and, where possible, UI), update README.md/Implementation_plan.md status, append CHANGELOG.md.</t>
  </si>
  <si>
    <t>T-0049, T-0050</t>
  </si>
  <si>
    <t>Tests and docs for NEW-001: 36 tests cover the config round trip (a saved view reopens with the same columns, grouping and sort), the meaning-order sorting, grouping and rendering, and the rendered page; CLAUDE.md gained the Task table to the view list and the extended savedViews schema, README lists the page and its export formats and the new suite. CLAUDE.md, README.md, CHANGELOG.md.</t>
  </si>
  <si>
    <t>T-0052</t>
  </si>
  <si>
    <t>BUG-009</t>
  </si>
  <si>
    <t>Long notebook text sources fail on argv size</t>
  </si>
  <si>
    <t xml:space="preserve">addSourceText passes the whole body as a command-line argument; saving a long AI answer to the notebook (Ask AI → Save to notebook, Due alert → ＋ Notebook) can exceed ARG_MAX and fail with a confusing error, while askNotebook already streams long prompts over stdin.
Reproduction: Generate a very long answer (&gt;100 KB) and click Save to notebook.
Root cause: Inline positional text instead of --prompt-file style stdin.
Fix: Write the text to a temp file (or stdin if the CLI supports it for source add) when body.length &gt; STDIN_THRESHOLD; cover with a fixture test.
Where to see it: Ask AI → answer → Save to notebook
Risk of applying: Low — Bridge only; tested by fixtures. Recommendation: Proceed.
Files: bridge/notebooklm.mjs:357-368 · bridge/notebooklm.mjs:404-424</t>
  </si>
  <si>
    <t xml:space="preserve">1. Given a 200 KB answer
2. When it is saved to a notebook
3. Then the source is added and the UI shows In notebook</t>
  </si>
  <si>
    <t>bridge/notebooklm.mjs:357-368 · bridge/notebooklm.mjs:404-424</t>
  </si>
  <si>
    <t xml:space="preserve">Extend bridge/notebooklm.test.mjs with a fixture echoing argv length.
Run: npm test</t>
  </si>
  <si>
    <t>Long notebook text sources no longer blow past ARG_MAX: the new pure sourceAddPlan() keeps short notes inline as before and switches anything over the stdin threshold to a temp file added with --type file, under a readable sanitised filename; addSourceText writes and removes that file in a finally so nothing is left behind whether the CLI succeeds or fails. bridge/notebooklm.mjs(+test), CLAUDE.md; 7 fixture tests added, including a real 300 KB round trip that asserts the byte count arrived and the temp file is gone.</t>
  </si>
  <si>
    <t>Ask AI → answer → Save to notebook</t>
  </si>
  <si>
    <t>T-0053</t>
  </si>
  <si>
    <t>MISS-004</t>
  </si>
  <si>
    <t>Minutes cannot be exported or shared</t>
  </si>
  <si>
    <t xml:space="preserve">Meeting minutes with attendees, decisions and action items are a classic deliverable but have no print/export/share action; users must screenshot.
Reproduction: Open Minutes → any card: no Export or Print.
Root cause: Feature not built.
Fix: Add Download .docx / .pdf and Copy as Markdown per minute (filename minutes-&lt;title&gt;-YYYY-MM-DD), plus window.print stylesheet for a clean printout.
Where to see it: Minutes → minute card
Risk of applying: Low — Depends on the exporter service. Recommendation: Proceed.
Files: src/components/MinutesView.jsx:110-209</t>
  </si>
  <si>
    <t xml:space="preserve">1. Given a minute
2. When Download .docx is clicked
3. Then a document with title, date, attendees, notes, decisions and action items downloads</t>
  </si>
  <si>
    <t>src/components/MinutesView.jsx:110-209</t>
  </si>
  <si>
    <t xml:space="preserve">Export a minute with action items; open in Word.
Run: npm test</t>
  </si>
  <si>
    <t>Minutes can now leave the app three ways: Export (Word/PDF/Markdown/web/text, landed in T-0047), "Copy as text" which puts the same document on the clipboard as Markdown ready to paste into Slack or email, and "Print" which flags just that card so the print stylesheet hides the sidebar, topbar and every other minute — giving a clean printout, and a clean PDF from the print dialog. Both buttons stop the click from collapsing the card, and the print state is cleaned up on afterprint with a Safari fallback. src/components/MinutesView.jsx, src/App.css, tests/ui/minutesShare.test.mjs; 7 tests added.</t>
  </si>
  <si>
    <t>Minutes → minute card</t>
  </si>
  <si>
    <t>T-0054</t>
  </si>
  <si>
    <t>MISS-005</t>
  </si>
  <si>
    <t>Task and project export is JSON only</t>
  </si>
  <si>
    <t xml:space="preserve">Settings → Export JSON dumps projects/tasks/activities as raw JSON (and omits goals, minutes, templates, comments). There is no spreadsheet export of the task list with plan/actual dates, assignees and progress.
Reproduction: Try to get the task list into Excel.
Root cause: Export built as a backup, not a report.
Fix: Add Export tasks (.xlsx/.csv) to Kanban/Gantt page actions with current filters applied, include all collections in the backup, and label the JSON export as 'Backup (advanced)'.
Where to see it: Kanban / Gantt page actions; Settings → Your data
Risk of applying: Low — Additive. Recommendation: Proceed.
Files: src/components/SettingsView.jsx:388-399 · src/components/SettingsView.jsx:792-810</t>
  </si>
  <si>
    <t xml:space="preserve">1. Given the Board filtered to project P
2. When Export .xlsx is clicked
3. Then a workbook tasks-P-YYYY-MM-DD.xlsx contains one row per task with all columns</t>
  </si>
  <si>
    <t>src/components/SettingsView.jsx:388-399 · src/components/SettingsView.jsx:792-810</t>
  </si>
  <si>
    <t xml:space="preserve">Export and open in Excel; verify dates and assignee names.
Run: npm test</t>
  </si>
  <si>
    <t>Task and project data can leave as more than JSON: the Gantt page gained an Export that hands over exactly the scheduled tasks on the chart (project filter and period window applied) as .xlsx/.csv/.pdf, matching the Board export added in T-0047; the JSON dump now covers workspaces, projects, tasks, activities, goals, minutes and templates rather than three collections, carries a format version and a per-collection count so a restore can be checked, and is labelled "Backup everything (.json)". src/components/GanttView.jsx, src/components/SettingsView.jsx, tests/ui/dataExport.test.mjs; 7 tests added.</t>
  </si>
  <si>
    <t>Kanban / Gantt page actions; Settings → Your data</t>
  </si>
  <si>
    <t>T-0055</t>
  </si>
  <si>
    <t>MISS-006</t>
  </si>
  <si>
    <t>Quick create exists only for tasks</t>
  </si>
  <si>
    <t xml:space="preserve">The Board quick-add with natural-language parsing is good, but projects, minutes, goals and activities each need their own page and modal. ⌘K only searches; there is no create-anything entry point.
Reproduction: Press ⌘K and type 'new project': only task/activity matches appear.
Root cause: Search palette has no actions.
Fix: Extend GlobalSearch into a command palette: rows for New task (uses parseQuickAdd), New project, New minute, New goal, Log activity for &lt;task&gt;, and navigation to views.
Where to see it: Topbar search (⌘K)
Risk of applying: Low — AppShell only. Recommendation: Proceed.
Files: src/components/TaskForm.jsx · src/components/AppShell.jsx:407-603</t>
  </si>
  <si>
    <t xml:space="preserve">1. Given ⌘K
2. When the user types 'new project Website'
3. Then Enter opens the project editor prefilled with the name</t>
  </si>
  <si>
    <t>src/components/TaskForm.jsx · src/components/AppShell.jsx:407-603</t>
  </si>
  <si>
    <t xml:space="preserve">Keyboard-only: ⌘K, type, Enter.
Run: npm test</t>
  </si>
  <si>
    <t>⌘K is now a command palette, not only a search box: type "new project Website revamp", "log hours", "create meeting notes" or just "gantt" and the matching action appears, with a New-task row previewing exactly what the natural-language parts will do (title, due date, priority, tags, requested-by) before you commit. Commands lead when you are clearly issuing one and trail search results otherwise, arrow keys cover every row, and running one navigates to the page that owns that thing and opens its create flow prefilled via the single-source useQuickCreate hook. Board, Projects, Minutes and Goals all listen. src/services/commandPalette.js(+test), src/hooks/useQuickCreate.js, src/components/{AppShell,Board,TaskForm,ProjectsView,MinutesView,GoalsView}.jsx, src/App.css, tests/ui/commandPalette.test.mjs; 26 tests added.</t>
  </si>
  <si>
    <t>Topbar search (⌘K)</t>
  </si>
  <si>
    <t>T-0056</t>
  </si>
  <si>
    <t>MISS-007</t>
  </si>
  <si>
    <t>Projects and segments have colors but no icons</t>
  </si>
  <si>
    <t xml:space="preserve">Workspaces can pick an icon, but projects and segments only have a color dot; the requirement is icons per group/category so users recognise groups at a glance (Notion page icons, Monday board icons).
Reproduction: Open a project: no icon picker.
Root cause: Schema has no icon field on projects.
Fix: Add optional icon to projects (reuse the workspace ICONS picker or emoji), show it on project cards, the picker and Board segment headers.
Where to see it: Projects → project editor
Risk of applying: Low — Additive field. Recommendation: Proceed.
Files: src/components/ProjectsView.jsx:869-889 · src/services/firebase.js:705-737 · src/components/WorkspaceEditor.jsx:251-264</t>
  </si>
  <si>
    <t xml:space="preserve">1. Given a project with icon ★
2. When listed anywhere
3. Then ★ precedes the name</t>
  </si>
  <si>
    <t>src/components/ProjectsView.jsx:869-889 · src/services/firebase.js:705-737 · src/components/WorkspaceEditor.jsx:251-264</t>
  </si>
  <si>
    <t xml:space="preserve">Set an icon, check Projects, topbar picker, Board segments.
Run: npm test</t>
  </si>
  <si>
    <t>Projects and segments now carry an icon, not just a colour: new src/services/icons.js holds one 24-mark monochrome set with normalizeIcon (nothing outside the set is ever stored or rendered), iconFor (own icon, then the parents, then the default) and suggestIcon (a stable per-id mark so an existing project is never blank). The project editor gained an icon picker beside the colour swatches, addProject/updateProject persist it, addSegmentToWorkspace accepts one, and project cards and the project header render the icon in the projects own colour, marked aria-hidden so screen readers read the name. src/services/icons.js(+test), src/components/ProjectsView.jsx, src/services/firebase.js, src/App.css, tests/ui/groupIcons.test.mjs; 18 tests added.</t>
  </si>
  <si>
    <t>Projects → project editor</t>
  </si>
  <si>
    <t>T-0057</t>
  </si>
  <si>
    <t>MISS-008</t>
  </si>
  <si>
    <t>Soft-deleted items cannot be seen or restored</t>
  </si>
  <si>
    <t xml:space="preserve">Delete dialogs say 'This is a soft delete and can be restored' but no screen lists deleted tasks/projects/workspaces; restoring requires the Firestore console.
Reproduction: Delete a task, look for a way to bring it back.
Root cause: deleted flag filtered everywhere with no Trash view.
Fix: Add Settings → Trash (or a Trash filter in Table) listing deleted tasks/projects for the workspace with Restore and Delete forever (admin), plus an Undo toast right after deletion.
Where to see it: Task editor → Delete; Settings → Trash
Risk of applying: Medium — New queries on deleted docs; rules already allow owner/admin update. Recommendation: Proceed.
Files: src/components/TaskEditor.jsx:320-324 · src/components/WorkspaceEditor.jsx:138-143 · src/services/firebase.js:1125-1127</t>
  </si>
  <si>
    <t xml:space="preserve">1. Given a task deleted 1 minute ago
2. When Undo or Trash → Restore is used
3. Then it reappears on the Board</t>
  </si>
  <si>
    <t>src/components/TaskEditor.jsx:320-324 · src/components/WorkspaceEditor.jsx:138-143 · src/services/firebase.js:1125-1127</t>
  </si>
  <si>
    <t xml:space="preserve">Delete and restore a task and a project.
Run: npm test</t>
  </si>
  <si>
    <t>Soft-deleted items are visible and restorable at last: new Trash view in the sidebar lists deleted tasks, projects, minutes and goals with when each went, a Restore button that is the exact inverse of the soft delete, and an inline two-step "Delete forever" for the three kinds that can be purged. Tasks deliberately cannot be purged — activities reference them by id — and the row says so rather than hiding the button. Backed by subscribeToDeleted / restoreDeleted / deleteForever, which is now the only hard delete in the app. src/components/TrashView.jsx, src/services/firebase.js, src/App.jsx, src/components/AppShell.jsx, tests/ui/trash.test.mjs; 11 tests added.</t>
  </si>
  <si>
    <t>Task editor → Delete; Settings → Trash</t>
  </si>
  <si>
    <t>T-0058</t>
  </si>
  <si>
    <t>NEW-003</t>
  </si>
  <si>
    <t>Weekly timesheet per person exportable to Excel</t>
  </si>
  <si>
    <t xml:space="preserve">Hours are logged per activity but there is no per-person, per-week timesheet like Monday's time tracking or Airtable's rollups; managers cannot approve or bill hours.
Reproduction: n/a
Root cause: n/a
Fix: Add Reports → Timesheet: rows = members, columns = days of week, totals, filter by project, export .xlsx named timesheet-&lt;week&gt;-YYYY-MM-DD.xlsx.
Where to see it: Reports → Timesheet (new)
Risk of applying: Low — Read-only report. Recommendation: Proceed.
Files: src/components/WorkPerformedView.jsx · src/components/AnalyticsView.jsx</t>
  </si>
  <si>
    <t xml:space="preserve">1. Given a week with logged hours
2. When Timesheet opens
3. Then each member's daily hours and totals match the activity log</t>
  </si>
  <si>
    <t>src/components/WorkPerformedView.jsx · src/components/AnalyticsView.jsx</t>
  </si>
  <si>
    <t xml:space="preserve">Cross-check totals against Activity Log.
Run: npm test</t>
  </si>
  <si>
    <t>New Reports - Timesheet: people down the side, the seven days of the chosen week across the top, totals on both edges plus a "where the hours went" project split. Week navigation (previous/next/this week) honours the Settings week-start preference, a project dropdown filters the whole grid and its totals together, and Export produces a two-sheet workbook (the grid with a totals row, and the project split) named timesheet-&lt;week-start&gt;-YYYY-MM-DD. Arithmetic lives in the pure src/services/timesheet.js — deleted entries and other weeks excluded, people named never shown as uids, rounding done once at the end so fractions do not drift. src/services/timesheet.js(+test), src/components/TimesheetView.jsx, src/App.jsx, src/components/AppShell.jsx, src/services/commandPalette.js, src/App.css, tests/ui/timesheet.test.mjs; 29 tests added.</t>
  </si>
  <si>
    <t>Reports → Timesheet (new)</t>
  </si>
  <si>
    <t>T-0059</t>
  </si>
  <si>
    <t>NEW-006</t>
  </si>
  <si>
    <t>Import wizard for tasks and projects</t>
  </si>
  <si>
    <t xml:space="preserve">The CSV importer only understands activities. Teams moving from Monday/Airtable/Excel need to import task lists with column mapping, like Airtable's import wizard.
Reproduction: n/a
Root cause: n/a
Fix: Generalise the importer: choose entity (tasks/projects/activities), map columns with dropdowns, preview, dry run, then bulk create in batches of 400.
Where to see it: Activity Log → Import (extended)
Risk of applying: Low — Writes via existing addTask. Recommendation: Proceed.
Files: src/components/CsvImporter.jsx:46-60</t>
  </si>
  <si>
    <t xml:space="preserve">1. Given a spreadsheet of tasks
2. When imported
3. Then tasks exist with project, dates, priority and assignees mapped</t>
  </si>
  <si>
    <t>src/components/CsvImporter.jsx:46-60</t>
  </si>
  <si>
    <t xml:space="preserve">Import a 50-row task CSV.
Run: npm test</t>
  </si>
  <si>
    <t>New four-step import wizard that takes any spreadsheet: choose what you are importing (tasks, projects or the activity log), pick the .csv, map each of our fields onto one of YOUR columns from a dropdown (guessed first from the headings — "Summary", "Deadline", "Importance" all land correctly), then read a preview with line numbers and a per-row reason before anything is written. Status and priority understand how people actually write them, multi-value cells split on commas/semicolons/newlines, a blank date is left blank rather than silently becoming today, missing projects are created rather than dropped, writes are batched at 400, and failed rows come back by line with a reason. Offered from the Activity Log and the Task table. src/services/csv.js(+test), src/components/ImportWizard.jsx, src/components/{TableView,TasksTableView}.jsx, src/App.css, tests/ui/importWizard.test.mjs; 26 tests added.</t>
  </si>
  <si>
    <t>Activity Log → Import (extended)</t>
  </si>
  <si>
    <t>T-0060</t>
  </si>
  <si>
    <t>NEW-007</t>
  </si>
  <si>
    <t>Process template gallery</t>
  </si>
  <si>
    <t xml:space="preserve">Notion's template gallery is how non-savvy users start. The app has task/project templates but no ready-made process packs (client onboarding, audit, campaign, hiring) that create a project, phases, tasks and recurring rituals in one click.
Reproduction: n/a
Root cause: n/a
Fix: Ship built-in templates as JSON under src/templates/, show a gallery with icons on the empty Projects state and in New project, and let workspaces publish their own.
Where to see it: Projects → New project → From gallery (new)
Risk of applying: Low — Uses existing addProject/addTask. Recommendation: Proceed.
Files: src/services/firebase.js:1377-1418 · src/components/ProjectsView.jsx:193-230</t>
  </si>
  <si>
    <t xml:space="preserve">1. Given a new workspace
2. When 'Client onboarding' is chosen
3. Then a project with phases and 10 tasks is created</t>
  </si>
  <si>
    <t>src/services/firebase.js:1377-1418 · src/components/ProjectsView.jsx:193-230</t>
  </si>
  <si>
    <t xml:space="preserve">Use a gallery template; inspect the Board.
Run: npm test</t>
  </si>
  <si>
    <t>Process template gallery: six ready-made processes (client project, product launch, audit or review, event, new joiner, start from scratch) shipped as plain data in src/templates/gallery.js, each with its phases, a starting set of real task titles, a one-line summary and who it is for. Picking one shows the phases you will get and prefills the name; creating it makes the project and every task in the right phase. Offered from the Projects header and, on a blank account, as the leading call to action instead of "click + New project". src/templates/gallery.js(+test), src/components/TemplateGallery.jsx, src/components/ProjectsView.jsx, src/App.css, package.json, tests/ui/templateGallery.test.mjs; 21 tests added.</t>
  </si>
  <si>
    <t>Projects → New project → From gallery (new)</t>
  </si>
  <si>
    <t>T-0061</t>
  </si>
  <si>
    <t>NEW-008</t>
  </si>
  <si>
    <t>Undo toast and Trash view</t>
  </si>
  <si>
    <t xml:space="preserve">Notion and Airtable keep a trash and offer undo after destructive actions; here deletes are immediate confirm dialogs with no way back in the UI.
Reproduction: n/a
Root cause: n/a
Fix: See the soft-delete finding: Undo toast for 10 s plus Settings → Trash with Restore.
Where to see it: Activity Log bulk bar; task editor
Risk of applying: Medium — Hard-deleted activities need soft delete first. Recommendation: Proceed.
Files: src/components/TaskEditor.jsx:320-324 · src/components/TableView.jsx:100-104</t>
  </si>
  <si>
    <t xml:space="preserve">1. Given a bulk delete of activities
2. When Undo is pressed
3. Then the entries and task counters are restored</t>
  </si>
  <si>
    <t>src/components/TaskEditor.jsx:320-324 · src/components/TableView.jsx:100-104</t>
  </si>
  <si>
    <t xml:space="preserve">Bulk delete then Undo.
Run: npm test</t>
  </si>
  <si>
    <t>Undo toast, on top of the Trash view from T-0057: new ToastProvider (mounted once in App.jsx) replaces window.alert for anything that is not a question — stacking, auto-dismissing, pausing on hover, role=alert for errors and role=status for confirmations, a Dismiss button, and an Undo button when there is something to take back (shown for longer, because you have to notice it first). Deleting a task, project or minute no longer stops to ask: it deletes, says so, and offers Undo that calls restoreDeleted; an undo that fails says so rather than silently doing nothing. src/components/Toast.jsx, src/App.jsx, src/App.css, src/components/{TaskEditor,ProjectsView,MinutesView}.jsx, tests/ui/toast.test.mjs; 15 tests added.</t>
  </si>
  <si>
    <t>Activity Log bulk bar; task editor</t>
  </si>
  <si>
    <t>T-0062</t>
  </si>
  <si>
    <t>NEW-009</t>
  </si>
  <si>
    <t>Command palette with create and navigate actions</t>
  </si>
  <si>
    <t xml:space="preserve">Linear and Notion's ⌘K does everything; here it only searches. Turning it into the Grok-like quick-create path covers every object type.
Reproduction: n/a
Root cause: n/a
Fix: See quick-create finding; add navigation commands and recent items.
Where to see it: Topbar ⌘K
Risk of applying: Low — AppShell only. Recommendation: Proceed.
Files: src/components/AppShell.jsx:407-603</t>
  </si>
  <si>
    <t xml:space="preserve">1. Given ⌘K
2. When 'go to gantt' is typed
3. Then Enter navigates</t>
  </si>
  <si>
    <t>src/components/AppShell.jsx:407-603</t>
  </si>
  <si>
    <t xml:space="preserve">Keyboard walkthrough.
Run: npm test</t>
  </si>
  <si>
    <t>Command palette completed: on top of the create and navigate actions from T-0055, ⌘K now opens with "Recently opened" instead of a blank panel — the last six things you looked at, recorded per device, deduped and bounded, surviving corrupt storage or no storage at all. Picking one reopens it (a task in its own project, a project on its board). Navigation commands for every view were already in place. src/services/commandPalette.js(+test), src/components/AppShell.jsx, tests/ui/commandPalette.test.mjs; 14 tests added.</t>
  </si>
  <si>
    <t>Topbar ⌘K</t>
  </si>
  <si>
    <t>T-0063</t>
  </si>
  <si>
    <t>NEW-010</t>
  </si>
  <si>
    <t>Portfolio status report as PDF</t>
  </si>
  <si>
    <t xml:space="preserve">Monday's dashboards and Notion's roll-ups give executives a one-page RAG status across projects; the Dashboard computes RAG already but cannot be shared outside the app.
Reproduction: n/a
Root cause: n/a
Fix: Add Dashboard → Download status report (.pdf/.docx) with RAG table, overdue list, blockers and AI narrative, named status-report-&lt;workspace&gt;-YYYY-MM-DD.pdf.
Where to see it: Dashboard
Risk of applying: Low — Depends on exporter service. Recommendation: Proceed.
Files: src/components/DashboardView.jsx:190-217</t>
  </si>
  <si>
    <t xml:space="preserve">1. Given the Dashboard
2. When Download report is clicked
3. Then a dated PDF with the same numbers downloads</t>
  </si>
  <si>
    <t>src/components/DashboardView.jsx:190-217</t>
  </si>
  <si>
    <t xml:space="preserve">Compare PDF figures with the page.
Run: npm test</t>
  </si>
  <si>
    <t>Dashboard gained "Status report": a portfolio document in PDF, Word, Markdown or web-page form with the headline numbers, a red/amber/green table of every project (worst first, each colour explained in a sentence — "3 tasks overdue, 2 blocked entries, 45% behind its schedule" — and the colour key printed so the table stands alone), the overdue list with owners, the blocker list, and the AI narrative when one has been generated, always attributed so nobody mistakes prose for a computed number. Built on demand from the same digest the app shows, so the two can never disagree; also produces a two-sheet workbook. src/services/statusReport.js(+test), src/components/DashboardView.jsx, tests/ui/statusReport.test.mjs; 19 tests added.</t>
  </si>
  <si>
    <t>Dashboard</t>
  </si>
  <si>
    <t>T-0064</t>
  </si>
  <si>
    <t>POL-001</t>
  </si>
  <si>
    <t>95 native alert/prompt/confirm dialogs — API/data layer</t>
  </si>
  <si>
    <t xml:space="preserve">Saving templates, naming saved views, deletes, errors and the notification test all use window.alert/prompt/confirm (e.g. 'Could not save task. Check console.'). These block the UI, look unbranded, cannot be styled for dark mode and tell non-technical users to open the console.
Reproduction: Click ★ Save view or Save as template.
Root cause: No toast/dialog primitives.
Fix: Add a Toast provider and a ConfirmDialog/PromptDialog component (reuse the due-alert modal styles), replace all 95 call sites, and change error copy to plain language.
Where to see it: All pages
Risk of applying: Medium — Shared component touched by 22 files. Recommendation: Proceed.
Scope of this row: server-side changes only (routes, validation, database, spec). Leave the UI for the next row.</t>
  </si>
  <si>
    <t xml:space="preserve">1. Given any destructive action
2. When triggered
3. Then an in-app confirm dialog with Cancel/Delete appears and errors show as toasts</t>
  </si>
  <si>
    <t>src/components/SettingsView.jsx:104-221 · src/components/TaskEditor.jsx:227-347 · src/components/ProjectsView.jsx · src/components/AppShell.jsx:296-311</t>
  </si>
  <si>
    <t xml:space="preserve">grep -c 'alert(\|prompt(\|confirm(' src returns 0; walk through delete flows.
Run: npm test</t>
  </si>
  <si>
    <t>Dialog primitives to replace window.confirm/prompt: new src/components/Dialog.jsx with a Modal shell (role=dialog, aria-modal, aria-labelledby from a generated id, focus moved in on open and restored on close, a real Tab trap in both directions, Escape to close, backdrop click only on the backdrop itself), ConfirmDialog and PromptDialog on top of it, and a useDialog() hook whose confirm()/prompt() return promises so a call site reads like the confirm() it replaces. Falls back to the browsers own dialogs when no provider is mounted, so a promise can never hang. Mounted once in App.jsx alongside ToastProvider. src/components/Dialog.jsx, src/App.jsx, src/App.css, tests/ui/{dialog.test,dom}.mjs; 12 tests added.</t>
  </si>
  <si>
    <t>T-0065</t>
  </si>
  <si>
    <t>95 native alert/prompt/confirm dialogs — UI</t>
  </si>
  <si>
    <t xml:space="preserve">Saving templates, naming saved views, deletes, errors and the notification test all use window.alert/prompt/confirm (e.g. 'Could not save task. Check console.'). These block the UI, look unbranded, cannot be styled for dark mode and tell non-technical users to open the console.
Reproduction: Click ★ Save view or Save as template.
Root cause: No toast/dialog primitives.
Fix: Add a Toast provider and a ConfirmDialog/PromptDialog component (reuse the due-alert modal styles), replace all 95 call sites, and change error copy to plain language.
Where to see it: All pages
Risk of applying: Medium — Shared component touched by 22 files. Recommendation: Proceed.
Scope of this row: client-side changes (pages, components, styles) that use the API from T-0064. Plain-language inputs only.</t>
  </si>
  <si>
    <t>All 94 native dialogs replaced: 66 alert() calls became toast.error/success, 25 confirm() calls became await ask.confirm({ title, message, confirmLabel, danger }) and 3 prompt() calls became await ask.prompt(...), with every enclosing handler made async, useToast/useDialog wired into the 21 components that needed them, destructive confirms labelled with the actual verb (Delete/Remove/Revoke) and marked danger, long strings split into a question plus an explanation instead of a title full of newlines, and every toast.error(err.message) routed through friendlyError so no raw SDK text reaches a user. tests/ui/noNativeDialogs.test.mjs now fails the build if alert/confirm/prompt reappears, if a confirm lacks a title or an action label, if a destructive one is not marked, or if a toast shows a raw SDK message. 21 components + tests/ui/noNativeDialogs.test.mjs; 7 guards added.</t>
  </si>
  <si>
    <t>T-0066</t>
  </si>
  <si>
    <t>95 native alert/prompt/confirm dialogs — tests &amp; docs</t>
  </si>
  <si>
    <t>Add automated tests covering POL-001 (API and, where possible, UI), update README.md/Implementation_plan.md status, append CHANGELOG.md.</t>
  </si>
  <si>
    <t>T-0064, T-0065</t>
  </si>
  <si>
    <t>Tests and docs for POL-001: 19 tests cover the toast and dialog primitives plus seven repo-wide guards (no native dialogs anywhere, the one documented fallback, every confirm has a title and a real action label, destructive ones are marked, no explanation crammed into a title, no raw SDK message in a toast, both providers mounted once); CLAUDE.md gained a "Telling the user something" section and two Common Pitfalls, README lists the two new suites. CLAUDE.md, README.md, CHANGELOG.md.</t>
  </si>
  <si>
    <t>T-0067</t>
  </si>
  <si>
    <t>POL-002</t>
  </si>
  <si>
    <t>Modals lack dialog semantics, focus trap and Esc — API/data layer</t>
  </si>
  <si>
    <t xml:space="preserve">Only DueTaskAlertModal and TutorialGuide use role=dialog/aria-modal. TaskEditor, ProjectEditor, ActivityLogger, WorkspaceEditor and others close on backdrop click but not Esc, do not trap focus, and their icon-only buttons (✕ ✎ ▶ ↑ ↓ ⎘) have no aria-label.
Reproduction: Open a task, press Esc: nothing happens; Tab moves focus behind the modal.
Root cause: Ad-hoc modal markup per component.
Fix: Create a Modal wrapper (role=dialog, aria-labelledby, focus trap, Esc → onClose, restore focus) and adopt it everywhere; add aria-labels to icon buttons.
Where to see it: Task editor, project editor, log activity, workspace editor
Risk of applying: Medium — Shared wrapper across many modals. Recommendation: Proceed.
Scope of this row: server-side changes only (routes, validation, database, spec). Leave the UI for the next row.</t>
  </si>
  <si>
    <t xml:space="preserve">1. Given any open modal
2. When Esc is pressed
3. Then it closes and focus returns to the trigger
4. Given a screen reader
5. When a modal opens
6. Then its title is announced</t>
  </si>
  <si>
    <t>src/components/TaskEditor.jsx:351-411 · src/components/ActivityLogger.jsx:65-66 · src/components/Board.jsx:558-570 · src/components/ProjectsView.jsx:1142-1188</t>
  </si>
  <si>
    <t xml:space="preserve">Keyboard-only walkthrough; axe DevTools scan.
Run: npm test</t>
  </si>
  <si>
    <t>Added src/hooks/useModalDialog.js: gives an existing modal real dialog behaviour in two lines rather than a rewrite — spread backdropProps on the backdrop and dialogProps on the panel and it gains role=dialog, aria-modal, aria-labelledby (or aria-label when there is no title element), focus moved in on open and restored to wherever it came from on close, a Tab trap that wraps at both ends and recaptures focus that escapes, Escape to close with stopPropagation so a nested modal closes only itself, and a backdrop click that fires only on the backdrop itself. closeOnEscape and closeOnBackdrop can be turned off for a modal mid-save. src/hooks/useModalDialog.js, tests/ui/useModalDialog.test.mjs; 11 tests added.</t>
  </si>
  <si>
    <t>Task editor, project editor, log activity, workspace editor</t>
  </si>
  <si>
    <t>T-0068</t>
  </si>
  <si>
    <t>Modals lack dialog semantics, focus trap and Esc — UI</t>
  </si>
  <si>
    <t xml:space="preserve">Only DueTaskAlertModal and TutorialGuide use role=dialog/aria-modal. TaskEditor, ProjectEditor, ActivityLogger, WorkspaceEditor and others close on backdrop click but not Esc, do not trap focus, and their icon-only buttons (✕ ✎ ▶ ↑ ↓ ⎘) have no aria-label.
Reproduction: Open a task, press Esc: nothing happens; Tab moves focus behind the modal.
Root cause: Ad-hoc modal markup per component.
Fix: Create a Modal wrapper (role=dialog, aria-labelledby, focus trap, Esc → onClose, restore focus) and adopt it everywhere; add aria-labels to icon buttons.
Where to see it: Task editor, project editor, log activity, workspace editor
Risk of applying: Medium — Shared wrapper across many modals. Recommendation: Proceed.
Scope of this row: client-side changes (pages, components, styles) that use the API from T-0067. Plain-language inputs only.</t>
  </si>
  <si>
    <t>All 23 remaining modals adopted useModalDialog: each backdrop and panel now spreads the hooks props, so every one has role=dialog, aria-modal, a real aria-labelledby (each modals own heading was given the generated id; the two full-bleed editors with a breadcrumb hero instead of a heading got an explicit title), focus moved in on open and restored on close, a Tab trap, Escape to close, and a backdrop click that only fires on the backdrop. The CSV importer and the import wizard keep their "not while writing" guard. DueTaskAlertModal was deliberately left alone — it is role=alertdialog with its own describedby and ref, which the hook would have overridden. 21 components; tests/ui/modalSemantics.test.mjs guards all of it (9 checks).</t>
  </si>
  <si>
    <t>T-0069</t>
  </si>
  <si>
    <t>Modals lack dialog semantics, focus trap and Esc — tests &amp; docs</t>
  </si>
  <si>
    <t>Add automated tests covering POL-002 (API and, where possible, UI), update README.md/Implementation_plan.md status, append CHANGELOG.md.</t>
  </si>
  <si>
    <t>T-0067, T-0068</t>
  </si>
  <si>
    <t>Tests and docs for POL-002, plus the part of it still outstanding: 27 icon-only buttons (✕ ✎ ↑ ↓ × across 10 components) gained an aria-label, reusing the title already written for a mouse user so the two never contradict each other. tests/ui/modalSemantics.test.mjs now has 11 guards covering modal wiring, labelling, the self-implemented exceptions, the do-not-dismiss-mid-import cases, every icon-only button and title/label agreement; 11 more in useModalDialog.test.mjs. CLAUDE.md gained the hook to its map and two Common Pitfalls, README lists the three new suites. 10 components, CLAUDE.md, README.md, tests/ui/modalSemantics.test.mjs.</t>
  </si>
  <si>
    <t>T-0070</t>
  </si>
  <si>
    <t>NEW-002</t>
  </si>
  <si>
    <t>v0.4</t>
  </si>
  <si>
    <t>Automation rules replacing dead webhooks — API/data layer</t>
  </si>
  <si>
    <t xml:space="preserve">Monday's automations ('when status changes to Done, notify owner / create next task / move to phase') are the main reason process-driven teams pick it. Task Monitor has the events but no rule engine.
Reproduction: n/a
Root cause: n/a
Fix: Cloud Function onWrite(tasks) evaluating workspace rules {trigger, condition, action} authored in a plain-language form (dropdowns), with actions: notify, assign, set phase, create follow-up task, send webhook.
Where to see it: Settings → Automations (new)
Risk of applying: High — New backend and schema. Recommendation: On-Hold.
Scope of this row: server-side changes only (routes, validation, database, spec). Leave the UI for the next row.</t>
  </si>
  <si>
    <t xml:space="preserve">1. Given a rule 'when task done → create follow-up'
2. When a task is completed
3. Then the follow-up task exists within 10 s</t>
  </si>
  <si>
    <t>src/services/firebase.js:1941-1978 · src/components/SettingsView.jsx:820-869</t>
  </si>
  <si>
    <t xml:space="preserve">Create rule, complete task, verify.
Run: npm test</t>
  </si>
  <si>
    <t>Automation rules, replacing the dead webhooks UI with something that runs: a rule is three plain-language choices (trigger, any number of ANDed conditions, one action) over vocabularies that read as English, evaluated by the pure functions/src/automations.js — which also turns a rule back into one sentence for the editor to preview, refuses to save an incomplete one with a sentence saying what is missing, and catches a rule that would set off its own trigger. The runner (functions/automations.js, onTaskAutomations) loads the workspace rules, performs update / create-follow-up / notify, marks its own writes so a rule can never loop, and logs every run with the sentence and what happened. Rules are admin-only to write and member-readable so nobody is surprised; the run log and notices are read-only from a browser. functions/{index,automations}.js, functions/src/automations.js(+test), firestore.rules, firestore.indexes.json, tests/rules/automations.rules.test.mjs; 28 tests added.</t>
  </si>
  <si>
    <t>Settings → Automations (new)</t>
  </si>
  <si>
    <t>T-0071</t>
  </si>
  <si>
    <t>Automation rules replacing dead webhooks — UI</t>
  </si>
  <si>
    <t xml:space="preserve">Monday's automations ('when status changes to Done, notify owner / create next task / move to phase') are the main reason process-driven teams pick it. Task Monitor has the events but no rule engine.
Reproduction: n/a
Root cause: n/a
Fix: Cloud Function onWrite(tasks) evaluating workspace rules {trigger, condition, action} authored in a plain-language form (dropdowns), with actions: notify, assign, set phase, create follow-up task, send webhook.
Where to see it: Settings → Automations (new)
Risk of applying: High — New backend and schema. Recommendation: On-Hold.
Scope of this row: client-side changes (pages, components, styles) that use the API from T-0070. Plain-language inputs only.</t>
  </si>
  <si>
    <t>Settings → Automations is now a working panel on top of the T-0070 API: a rule is built entirely from dropdowns (trigger, ANDed conditions, action) with every id shown as the name a person recognises, the rule read back as one English sentence that updates as you build it, and a save button that stays disabled with a plain sentence saying what is missing. Three ready-made starters prefill the editor on an empty workspace, the webhook action offers the connections you already have by name instead of an id, the run log shows what each rule did (subscribed only while open), and "Notices for you" surfaces what the Tell-someone action wrote so that action is not a dead end. The editor adopted useModalDialog, and a half-finished condition now reads "its project is not chosen yet" rather than a pair of empty quotes. Also fixed the Switch-to button in Settings → Workspaces, which threw on every click because setActiveWorkspaceId was never imported. Acceptance steps 2-3 (the follow-up appearing within 10 s) need npm run deploy:functions on the Blaze plan — the runner itself is T-0070 and covered by its 28 tests. src/components/AutomationsSection.jsx, src/components/SettingsView.jsx, src/services/firebase.js, src/App.css, functions/src/automations.js(+test), dev/automations.{html,jsx}, tests/ui/automations.test.mjs; 20 tests added.</t>
  </si>
  <si>
    <t>T-0072</t>
  </si>
  <si>
    <t>Automation rules replacing dead webhooks — tests &amp; docs</t>
  </si>
  <si>
    <t>Add automated tests covering NEW-002 (API and, where possible, UI), update README.md/Implementation_plan.md status, append CHANGELOG.md.</t>
  </si>
  <si>
    <t>T-0070, T-0071</t>
  </si>
  <si>
    <t>Tests and docs for NEW-002: 16 new tests in functions/src/automationFlow.test.mjs walk the acceptance path through the pure chain — taskEventsFor → rulesFor → planAction — proving that completing a task under a "create a follow-up" rule yields exactly one follow-up carrying the parent's workspace, project, phase and priority, that a switched-off rule or an unmet condition yields nothing, that finishing a task twice does not make a second one, and that the two loop guards hold; the last five hold the runner to performing that plan rather than deciding for itself. Docs: README gained an Automations section (the three-choice table, who may write rules, the run log, the notices, the no-runaway guards, and that nothing runs until deploy:functions), three test-table rows and the new dev harness row; CLAUDE.md gained the automations/automationRuns/notifications schemas, an Automations bullet in cross-cutting features, the component in the file map, the Settings view entry and three Common Pitfalls (never a second copy of the vocabulary, never an id on screen, never an action with nowhere to land). Full suite 815 pass; rules suite 74 pass. functions/src/automationFlow.test.mjs, README.md, CLAUDE.md, CHANGELOG.md.</t>
  </si>
  <si>
    <t>T-0073</t>
  </si>
  <si>
    <t>IMP-008</t>
  </si>
  <si>
    <t>Attachments uploaded by one member cannot be deleted by others</t>
  </si>
  <si>
    <t xml:space="preserve">Storage rules only allow users/{uid} paths for the uploader. Other workspace members open files via download tokens, but deleteUpload silently warns and the object stays; storage leaks when activities are deleted by admins.
Reproduction: Member A attaches a file; admin B deletes the activity: file remains in Storage.
Root cause: Path is per-user, not per-workspace.
Fix: Store under workspaces/{wsId}/{taskId}/ and gate rules on workspace membership via Firestore get(); clean up files in deleteActivity.
Where to see it: Log activity → Files &amp; links
Risk of applying: High — Storage path migration for existing files. Recommendation: On-Hold.
Files: storage.rules:10-12 · src/services/firebase.js:1585-1629 · src/components/FileUpload.jsx:45-48</t>
  </si>
  <si>
    <t xml:space="preserve">1. Given admin B deletes A's activity with a file
2. When done
3. Then the storage object is removed</t>
  </si>
  <si>
    <t>storage.rules:10-12 · src/services/firebase.js:1585-1629 · src/components/FileUpload.jsx:45-48</t>
  </si>
  <si>
    <t xml:space="preserve">Upload as A, delete as B, inspect the Storage bucket.
Run: npm test</t>
  </si>
  <si>
    <t>An attachment now belongs to the workspace, not to whoever uploaded it. Uploads go to workspaces/{workspaceId}/{taskId|general|logo}/… — built by the new pure src/services/uploadPaths.js, which refuses a path with no workspace and cannot be talked out of its folder by a hostile filename or task id — and storage.rules decides access by reading that workspace document, so any member can open, replace or delete the file; the old users/{uid}/ prefix is frozen legacy (its uploader can still read and delete, nothing new is written there, existing links keep working). Deleting an activity or a batch of them, and taking an attachment off while editing one, now delete the stored objects too — after the batch commits, so a file the bucket refuses cannot block the record from going. The workspace-logo upload moved into the workspace's own folder and is disabled with a plain sentence until the workspace exists. Verified against the real Storage emulator: 12 emulator cases including the finding itself (the owner deletes a file a member uploaded) and the four ways somebody outside the workspace is refused. Also serialized npm run test:rules — with singleProjectMode the emulator has one bucket, and running the files in parallel let one wipe another's fixtures. src/services/uploadPaths.js(+test), storage.rules, src/services/firebase.js, src/components/{FileUpload,ActivityLogger,ActivityEditor,WorkspaceEditor}.jsx, firebase.json, package.json, tests/rules/{harness,attachments.rules.test}.mjs, tests/ui/attachments.test.mjs, README.md, CLAUDE.md; 45 tests added (16 pure, 17 UI, 12 emulator).</t>
  </si>
  <si>
    <t>Log activity → Files &amp; links</t>
  </si>
  <si>
    <t>T-0074</t>
  </si>
  <si>
    <t>MISS-009</t>
  </si>
  <si>
    <t>Custom fields are invisible outside the task editor</t>
  </si>
  <si>
    <t xml:space="preserve">Projects can define custom fields, but values are not shown as Table columns, on cards, in Gantt, in CSV exports or as filters, so the feature cannot be used for reporting.
Reproduction: Add a select field Client to a project, set values, open Activity Log/Board: nothing shows.
Root cause: Only the editor reads customValues.
Fix: Render custom values on cards (chips), add dynamic columns in a tasks table export, and allow filtering by custom field in saved views.
Where to see it: Kanban; Activity Log; exports
Risk of applying: Low — Read-only rendering. Recommendation: Proceed.
Files: src/components/TaskEditor.jsx:995-1025 · src/components/ProjectsView.jsx:758-805 · src/components/TableView.jsx:13-24</t>
  </si>
  <si>
    <t xml:space="preserve">1. Given a project with a Client field
2. When the Board is filtered to it
3. Then cards show the Client chip and export includes the column</t>
  </si>
  <si>
    <t>src/components/TaskEditor.jsx:995-1025 · src/components/ProjectsView.jsx:758-805 · src/components/TableView.jsx:13-24</t>
  </si>
  <si>
    <t xml:space="preserve">Define fields, set values, check Board and export.
Run: npm test</t>
  </si>
  <si>
    <t>Custom fields now leave the task editor: the new pure src/services/customFields.js describes a project's own fields once — labels (two projects with a Client field are disambiguated by project name), values (a number sorts as a number, a blank sorts last and never becomes an empty chip), chips for a card and columns for a table — and every surface reads from it. Board cards show up to three "Client: Acme" chips under the tags; the Task table's column catalogue now merges the built-ins with one column per custom field, so a field can be ticked on, sorted (numbers numerically, right-aligned), grouped by when it is a select field, and saved in a view — a view whose field was since deleted still opens, just without that column; and every task export (Board, Gantt, Task table) appends the fields as columns to both the readable document and the spreadsheet. tableViews' functions all take the render context now so the catalogue is never a fixed list. src/services/customFields.js(+test), src/services/tableViews.js, src/services/taskExport.js, src/components/{Board,GanttView,TasksTableView}.jsx, src/App.css, tests/ui/{customFields,tasksTable}.test.mjs, README.md, CLAUDE.md; 36 tests added (18 pure, 18 integration). Lint count unchanged at 77 pre-existing problems.</t>
  </si>
  <si>
    <t>Kanban; Activity Log; exports</t>
  </si>
  <si>
    <t>T-0075</t>
  </si>
  <si>
    <t>NEW-004</t>
  </si>
  <si>
    <t>Mentions and a personal inbox — API/data layer</t>
  </si>
  <si>
    <t xml:space="preserve">Comments render @mentions as pills but nobody is notified. Notion's inbox and Monday's notifications make collaboration stick; without them comments and assignments go unseen.
Reproduction: n/a
Root cause: n/a
Fix: notifications collection written on mention/assign/comment; a topbar inbox with unread count and deep links; browser notification reuse.
Where to see it: Topbar inbox (new)
Risk of applying: Medium — New collection and rules. Recommendation: Proceed.
Scope of this row: server-side changes only (routes, validation, database, spec). Leave the UI for the next row.</t>
  </si>
  <si>
    <t xml:space="preserve">1. Given user A mentions B
2. When B opens the app
3. Then the inbox shows the mention and opens the task</t>
  </si>
  <si>
    <t>src/components/Markdown.jsx:46 · src/components/TaskEditor.jsx:1130-1214</t>
  </si>
  <si>
    <t xml:space="preserve">Mention a teammate; check their inbox.
Run: npm test</t>
  </si>
  <si>
    <t>Mentions and the inbox, data layer: the new pure src/services/mentions.js works out who a message is for (an @token resolves against a member's display name, first name or email local part; an email address in the text is not a mention; two people who would share a handle means exactly one is told, never the wrong two; the author never hears about their own message; somebody both mentioned and watching is told once, as a mention) and builds the whole sentence the inbox shows, so an old notice still reads correctly after the wording changes. firebase.js raises those notices where the message is written — addTaskComment takes the audience already on screen, notifyAssignment tells whoever was just put on a task — always after the write and with each notice's failure swallowed, so a notice that cannot be written never costs somebody their comment; markAllNotificationsRead clears the inbox in one batch. firestore.rules now lets a member create a notice, but only inside a workspace they belong to, only for a member of it, only from themselves, only unread, only kind mention/comment/assignment (automation stays the function's) and at most 300 characters. The automation runner's notice took the same shape so one inbox shows both. src/services/mentions.js(+test), src/services/firebase.js, firestore.rules, functions/automations.js, tests/rules/notifications.rules.test.mjs, tests/ui/inboxApi.test.mjs, README.md, CLAUDE.md; 44 tests added (22 pure, 10 data-layer, 12 emulator). UI is T-0076.</t>
  </si>
  <si>
    <t>Topbar inbox (new)</t>
  </si>
  <si>
    <t>T-0076</t>
  </si>
  <si>
    <t>Mentions and a personal inbox — UI</t>
  </si>
  <si>
    <t xml:space="preserve">Comments render @mentions as pills but nobody is notified. Notion's inbox and Monday's notifications make collaboration stick; without them comments and assignments go unseen.
Reproduction: n/a
Root cause: n/a
Fix: notifications collection written on mention/assign/comment; a topbar inbox with unread count and deep links; browser notification reuse.
Where to see it: Topbar inbox (new)
Risk of applying: Medium — New collection and rules. Recommendation: Proceed.
Scope of this row: client-side changes (pages, components, styles) that use the API from T-0075. Plain-language inputs only.</t>
  </si>
  <si>
    <t>The inbox, built on T-0075: a 📥 bell in the topbar with an unread count, and a panel (InboxPanel, split out so a dev harness can render it) listing every notice with its kind named in words — Mentioned you / New comment / Assigned to you / An automation ran — the sentence, and how long ago; opening a row goes to that task and marks it read, Mark all as read clears the rest, Escape and a click outside close it, and an empty inbox says what will land in it. Typing @ in a comment now opens a picker of the people in the workspace (arrow keys, Enter/Tab, Escape, role=listbox) — and it inserts a handle nobody else answers to, because offering @mia where there are two Mias would notify the first one whoever you clicked. Posting a comment hands addTaskComment the audience already on screen, and saving an assignment calls notifyAssignment, so both raise real notices. Navigating to a task moved into services/openTask.js and both the search results and the inbox use it. The duplicate Notices-for-you block was removed from Settings → Automations, which now points at the inbox. Verified end to end in Chrome via the new dev/inbox.html harness: choosing Mia inserted @mia, and posting raised a mention for Mia and a comment for the task's creator, nothing for the author. src/components/{InboxBell,InboxPanel,Markdown,TaskEditor,AppShell,Board,AutomationsSection}.jsx, src/hooks/useInbox.js, src/services/{openTask,mentions}.js, src/App.css, dev/inbox.{html,jsx}, tests/ui/{inbox,automations}.test.mjs, src/services/mentions.test.mjs, README.md, CLAUDE.md; 26 tests added. Lint unchanged at 77 pre-existing problems.</t>
  </si>
  <si>
    <t>T-0077</t>
  </si>
  <si>
    <t>Mentions and a personal inbox — tests &amp; docs</t>
  </si>
  <si>
    <t>Add automated tests covering NEW-004 (API and, where possible, UI), update README.md/Implementation_plan.md status, append CHANGELOG.md.</t>
  </si>
  <si>
    <t>T-0075, T-0076</t>
  </si>
  <si>
    <t>Tests and docs for NEW-004: the new tests/ui/inboxFlow.test.mjs walks the acceptance path in one file — A comments naming B, exactly one mention notice is produced for B with the sentence it will show, A hears nothing about their own message, the task's creator is told separately as a comment, the real InboxPanel renders B's notice as unread, clicking it asks for that task on that task's board, a listener shaped like the Board's opens the right task, and a read notice stops counting and stops offering Mark all as read — plus four guards that the README explains the feature (including that nothing is emailed), lists the three new suites and the harness, that CLAUDE.md carries the notifications schema and the three traps, and that the changelog records both halves. README also gained the Inbox and @mentions section in T-0076; this row added the flow suite to its table. tests/ui/inboxFlow.test.mjs, README.md, CHANGELOG.md; 11 tests added. Full suite 953 pass, rules suite 98 pass, lint unchanged at 77.</t>
  </si>
  <si>
    <t>T-0078</t>
  </si>
  <si>
    <t>NEW-005</t>
  </si>
  <si>
    <t>Workload planner by week — API/data layer</t>
  </si>
  <si>
    <t xml:space="preserve">The Dashboard shows team load for the current week; Monday's Workload view lets a manager see and drag tasks across people and weeks to rebalance before deadlines slip.
Reproduction: n/a
Root cause: n/a
Fix: Board → Workload: grid of members × next 6 weeks, cells sized by planned tasks/hours; drag a task to another week/person updates plan dates and assignedTo.
Where to see it: Board → Workload (new)
Risk of applying: Medium — Writes to tasks; reuse dnd-kit. Recommendation: Proceed.
Scope of this row: server-side changes only (routes, validation, database, spec). Leave the UI for the next row.</t>
  </si>
  <si>
    <t xml:space="preserve">1. Given an overloaded member
2. When a task is dragged to another member
3. Then assignedTo and plan.endDate update</t>
  </si>
  <si>
    <t>src/components/DashboardView.jsx:222-245</t>
  </si>
  <si>
    <t xml:space="preserve">Drag and verify in task editor.
Run: npm test</t>
  </si>
  <si>
    <t>Workload planner, data layer: the new pure src/services/workload.js builds the people × next-six-weeks grid — everybody in the workspace gets a row even with nothing on (a free person is exactly who a manager is looking for), an unassigned lane appears only when there is something in it and always sorts last, a task counts in the week its deadline falls in, a task on two people costs both of them, hours already logged come off what is left, a finished/deleted/archived task weighs nothing, a task with no due date is handed back as unscheduled rather than silently dropped, and one beyond the window is neither placed nor called unscheduled. Load is a word not a shade (free / room to spare / a full week / more than a full week), each with a sentence, and describeCell writes the whole thing out for a tooltip and a screen reader. moveTaskPlan turns a drop into a patch: another week keeps the weekday (a Friday deadline stays a Friday) and carries plan.startDate so a three-day task stays three days, another person replaces assignedTo, the unassigned lane clears it, and a drop that changes nothing returns null so no write happens — dotted paths, so plan.startDate is never wiped by a whole-object write. firebase.js gained applyTaskMove, which is the one place a move happens: the write, then the notice for whoever just inherited the task. src/services/workload.js(+test), src/services/firebase.js, tests/ui/workloadApi.test.mjs, README.md, CLAUDE.md; 37 tests added (30 pure, 7 data-layer). UI is T-0079.</t>
  </si>
  <si>
    <t>Board → Workload (new)</t>
  </si>
  <si>
    <t>T-0079</t>
  </si>
  <si>
    <t>Workload planner by week — UI</t>
  </si>
  <si>
    <t xml:space="preserve">The Dashboard shows team load for the current week; Monday's Workload view lets a manager see and drag tasks across people and weeks to rebalance before deadlines slip.
Reproduction: n/a
Root cause: n/a
Fix: Board → Workload: grid of members × next 6 weeks, cells sized by planned tasks/hours; drag a task to another week/person updates plan dates and assignedTo.
Where to see it: Board → Workload (new)
Risk of applying: Medium — Writes to tasks; reuse dnd-kit. Recommendation: Proceed.
Scope of this row: client-side changes (pages, components, styles) that use the API from T-0078. Plain-language inputs only.</t>
  </si>
  <si>
    <t>New Board → Workload page: people down the side, the next six weeks across the top, each cell showing the tasks planned to end that week, the hours they add up to, and how full that makes the person — coloured with the key printed in words beside it. Week navigation honours the week-start preference; a project filter narrows the whole grid; tasks with no due date are listed underneath with what to do about them rather than being left out; the grid is a real table with scope=col/row and every cell carrying its own sentence as title and aria-label, and it scrolls inside itself on a narrow screen. Dragging is dnd-kit: a chip is both the drag handle and the way into the task (an inner button would have made a chip that small undraggable), a ref stops the click at the end of a drag from also opening the editor, user-select is off so a drag does not select the words it is carrying, the drop target is is-drop-target rather than reusing the over-capacity is-over, and a drop goes through applyTaskMove so the person who just inherited the task is told. Verified in Chrome through the new dev/workload.html harness: dragging a task from an overloaded person to another dropped them from 50h (red) to 30h and wrote {plan.endDate, assignedTo}; dragging a two-day task three weeks out kept the weekday and the length ({plan.endDate: 2026-10-08, plan.startDate: 2026-10-06}). src/components/WorkloadView.jsx, src/services/workload.js, src/App.jsx, src/components/AppShell.jsx, src/App.css, dev/workload.{html,jsx}, tests/ui/workload.test.mjs, README.md, CLAUDE.md; 23 tests added. Lint unchanged at 77.</t>
  </si>
  <si>
    <t>T-0080</t>
  </si>
  <si>
    <t>Workload planner by week — tests &amp; docs</t>
  </si>
  <si>
    <t>Add automated tests covering NEW-005 (API and, where possible, UI), update README.md/Implementation_plan.md status, append CHANGELOG.md.</t>
  </si>
  <si>
    <t>T-0078, T-0079</t>
  </si>
  <si>
    <t>Tests and docs for NEW-005: the new tests/ui/workloadFlow.test.mjs walks the acceptance path — the grid shows Ace at 50h and marked over while Mia's week is free, the cell dropped on names both the person and the week, the patch is exactly {plan.endDate, assignedTo} (the acceptance line), and the grid rebuilt from the patched task shows Ace down to 20h/room-to-spare and Mia up to 38h/a-full-week, so the load really moved; plus a multi-day task keeping its weekday and its length, and the toast naming the person who now has it. Four docs guards cover the README's new Workload section (including the arithmetic a manager is trusting — four hours a task, forty a week), the three new suites and the harness, CLAUDE.md's module map entry and the two traps the row cost to find, and both changelog entries. tests/ui/workloadFlow.test.mjs, README.md, CHANGELOG.md; 10 tests added. Full suite 1023 pass, rules suite 98 pass, lint unchanged at 77.</t>
  </si>
  <si>
    <t>T-0081</t>
  </si>
  <si>
    <t>NEW-011</t>
  </si>
  <si>
    <t>Read-only share links for a board or Gantt — API/data layer</t>
  </si>
  <si>
    <t xml:space="preserve">Airtable share views and Monday's shareable boards let clients follow progress without an account; the invite-only gate blocks all external visibility today.
Reproduction: n/a
Root cause: n/a
Fix: Cloud Function that renders a snapshot (or a public read-only doc in sharedViews/{token}) for a project's Gantt/Board, expiring links, revocable from Sharing.
Where to see it: Project editor → Sharing
Risk of applying: High — Public data exposure; needs rules design. Recommendation: On-Hold.
Scope of this row: server-side changes only (routes, validation, database, spec). Leave the UI for the next row.</t>
  </si>
  <si>
    <t xml:space="preserve">1. Given a share link
2. When opened signed-out
3. Then the Gantt renders read-only</t>
  </si>
  <si>
    <t>src/components/GanttView.jsx · firestore.rules:130-148</t>
  </si>
  <si>
    <t xml:space="preserve">Open link in incognito.
Run: npm test</t>
  </si>
  <si>
    <t>Read-only share links, data layer. The design decision that makes this safe: a link holds a SNAPSHOT, never a window — sharedViews/{token} carries the rows it shows, so nothing in tasks, projects or workspaces opens up and a leaked token leaks one project's headline state and never grows into more. The new pure src/services/shareLinks.js (which imports nothing at all, so what leaves the workspace is testable) generates a 26-character token from crypto.getRandomValues, builds the snapshot from a written-down field list — id, title, status, priority, progress, start, end, phase — and nothing else, drops deleted/archived/other-project tasks, counts total/done/overdue so the public page needs no arithmetic, and says in a sentence exactly what the publisher is handing out. firestore.rules gained the app's only world-readable rule, written before the code: get only and never list (a token cannot be found by browsing), live only (revoked or expired is refused in the rules, not merely hidden by a page), create only by a workspace admin in their own name and never born dead, update unable to move a link to another workspace or another publisher. firebase.js gained create/refresh/revoke/setExpiry/delete/subscribe plus getSharedView, which returns null identically for missing, revoked and expired so the page cannot leak which. src/services/shareLinks.js(+test), firestore.rules, src/services/firebase.js, tests/rules/{harness,sharedViews.rules.test}.mjs, tests/ui/shareLinksApi.test.mjs, README.md, CLAUDE.md; 55 tests added (24 pure, 14 data-layer, 17 emulator) — including a guard that this stays the only 'allow ...: if true' in the whole rules file. UI is T-0082.</t>
  </si>
  <si>
    <t>Project editor → Sharing</t>
  </si>
  <si>
    <t>T-0082</t>
  </si>
  <si>
    <t>Read-only share links for a board or Gantt — UI</t>
  </si>
  <si>
    <t xml:space="preserve">Airtable share views and Monday's shareable boards let clients follow progress without an account; the invite-only gate blocks all external visibility today.
Reproduction: n/a
Root cause: n/a
Fix: Cloud Function that renders a snapshot (or a public read-only doc in sharedViews/{token}) for a project's Gantt/Board, expiring links, revocable from Sharing.
Where to see it: Project editor → Sharing
Risk of applying: High — Public data exposure; needs rules design. Recommendation: On-Hold.
Scope of this row: client-side changes (pages, components, styles) that use the API from T-0081. Plain-language inputs only.</t>
  </si>
  <si>
    <t>The sharing UI, on top of T-0081. Project editor → "Share with a client": pick board or timeline, pick how long (7/30/90 days or until you turn it off), and the confirm dialog spells out what you are about to hand out before the link exists — the tasks and their dates, never comments, attachments, hours or who is on what. Publishing copies the URL; every link then shows live/off, how long it has left and its own URL, with Copy, Refresh (a stale snapshot is fixable without issuing a new URL) and a danger-marked Turn off that says it takes effect straight away. An editor sees who can publish instead of a button that would fail. The public page is a new route rendered BEFORE the sign-in gate — asking a client to sign in is the one thing it must not do — split into SharedViewPage (fetches exactly one document) and SharedSnapshot (renders it, fetches nothing), the latter drawing either a three-column board or a timeline whose bars are laid out by the pure buildBars, with overdue in red, done in green and "No dates yet" rather than a bar that pretends. Missing, revoked and expired all say the same sentence, so a stranger cannot learn that a token was once real. Verified in Chrome: both forms render from a sample snapshot via the new dev/shared.html harness, and #/shared/&lt;token&gt; on the real app renders signed-out with no sign-in screen. NOTE: the sharedViews rule must be deployed (npm run deploy:rules) before the first real link will open. src/components/{SharedViewPage,SharedSnapshot,ShareLinksPanel,ProjectsView}.jsx, src/App.jsx, src/services/shareLinks.js, src/App.css, dev/shared.{html,jsx}, tests/ui/shareLinks.test.mjs, README.md, CLAUDE.md; 24 tests added. Lint unchanged at 77.</t>
  </si>
  <si>
    <t>T-0083</t>
  </si>
  <si>
    <t>Read-only share links for a board or Gantt — tests &amp; docs</t>
  </si>
  <si>
    <t>Add automated tests covering NEW-011 (API and, where possible, UI), update README.md/Implementation_plan.md status, append CHANGELOG.md.</t>
  </si>
  <si>
    <t>T-0081, T-0082</t>
  </si>
  <si>
    <t>Tests and docs for NEW-011: the new tests/ui/shareFlow.test.mjs walks the acceptance path with tasks deliberately carrying every private field the app has — assignees, an external contractor, requestedBy, logged hours, counters, tags, custom values, an internal description and an attachment link — and proves the published document contains none of them, the rendered page shows none of them, a deleted task and another project's task are not in it, the timeline renders both bars with the project name and counts, the page has no button, no input and no link anywhere in it (nothing to press, nothing to type, no way back into the app, no sign-in), it says it is a snapshot and when it was taken, the board form renders the same snapshot as three columns, and a revoked or expired link fails the same test the server applies. One test names the deliberate exception: the publisher's own name and id are the only identities that travel — the client is told who shared it and the rules need the id to stop a link being reassigned — and neither appears inside the snapshot itself. Four docs guards cover the README's Sharing section (including what it never shows, the deploy:rules prerequisite and the one-identity rule I added while writing this row), the new suites and harness, CLAUDE.md's schema and three pitfalls, and both changelog entries. tests/ui/shareFlow.test.mjs, README.md, CHANGELOG.md; 15 tests added. Full suite 1100 pass, rules suite 115 pass, lint unchanged at 77.</t>
  </si>
  <si>
    <t>T-0084</t>
  </si>
  <si>
    <t>NEW-012</t>
  </si>
  <si>
    <t>Scheduled recurrence instead of on-completion only</t>
  </si>
  <si>
    <t xml:space="preserve">Recurring tasks only spawn when the previous instance is marked done, so a missed weekly ritual never reappears. Monday/Notion recurring items generate on schedule.
Reproduction: n/a
Root cause: n/a
Fix: Cloud Scheduler function that daily materialises due instances from recurrence rules (idempotent by recurrenceParentId + date), falling back to the current client path.
Where to see it: Kanban
Risk of applying: High — Backend writes to tasks. Recommendation: On-Hold.
Files: src/services/firebase.js:958-983</t>
  </si>
  <si>
    <t xml:space="preserve">1. Given a weekly task never completed
2. When the next week arrives
3. Then a new instance exists</t>
  </si>
  <si>
    <t>src/services/firebase.js:958-983</t>
  </si>
  <si>
    <t xml:space="preserve">Emulate scheduler run.
Run: npm test</t>
  </si>
  <si>
    <t>Recurring tasks now come round on schedule, not only when the last one was ticked off — a weekly ritual nobody completed used to die at the first missed week. The new pure src/services/recurrenceSchedule.js groups tasks into series (keyed on recurrenceParentId, anchored on the instance scheduled furthest ahead), walks forward from where each series actually got to, and returns every occurrence that has become due and is missing, as payloads ready for addTask. Bounded on purpose: an occurrence appears on the day it is due and never early (HORIZON_DAYS 0 — a week-long horizon would put next week's copy beside this week's), nothing older than 30 days is created so a dormant series does not produce a year of overdue copies, at most 8 per series per run, and the walk that crosses the gap is capped so a decade-dormant daily series returns rather than looping. firebase.js gained materialiseRecurrences, which writes through addTask (never a hand-rolled document) and survives one series failing; useRecurrenceCatchUp runs it on load and hourly, once per day per device, retrying after a failure, reading the app-wide tasks subscription so it costs no extra query, and logging rather than interrupting. The on-completion path is untouched — this is a second way, and both key on recurrenceParentId + due date so they are safe together. DECISION FOR REVIEW: the audit's fix called for a Cloud Scheduler function; I ran it in the app instead (the audit's own stated fallback) to keep this a static front end with one narrow functions deployment. The honest limit, stated in the code and the README: a workspace nobody opens for a month catches up the next time somebody opens it, not before. Verified in Chrome through the new dev/recurrence.html harness: on the 20th the weekly one is correctly not due; on the 21st it appears with the 14th's instance still untouched at 'todo'; a week later the daily series catches up all seven missed days plus the weekly one, eight in total, inside the per-run cap. src/services/recurrenceSchedule.js(+test), src/services/firebase.js, src/hooks/useRecurrenceCatchUp.js, src/App.jsx, dev/recurrence.{html,jsx}, tests/ui/recurrenceCatchUp.test.mjs, README.md, CLAUDE.md; 40 tests added (22 pure, 18 integration). Full suite 1140 pass, rules 115 pass, lint unchanged at 77.</t>
  </si>
  <si>
    <t>Task Monitor — task sheet summary</t>
  </si>
  <si>
    <t>Release v0.1 · generated 2026-09-20 by Ideon</t>
  </si>
  <si>
    <t>Total tasks</t>
  </si>
  <si>
    <t>Done (YES)</t>
  </si>
  <si>
    <t>Blocked</t>
  </si>
  <si>
    <t>On-Hold (needs your review)</t>
  </si>
  <si>
    <t>% done</t>
  </si>
  <si>
    <t>Total estimated AI cost (USD)</t>
  </si>
  <si>
    <t>By release</t>
  </si>
  <si>
    <t>Tasks</t>
  </si>
  <si>
    <t>Done</t>
  </si>
  <si>
    <t>By priority</t>
  </si>
  <si>
    <t>By category</t>
  </si>
  <si>
    <t>By area</t>
  </si>
  <si>
    <t>By risk of applying</t>
  </si>
  <si>
    <t>By recommendation</t>
  </si>
  <si>
    <t>On-Hold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</si>
</sst>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
  </numFmts>
  <fonts count="6" x14ac:knownFonts="1">
    <font>
      <color theme="1"/>
      <family val="2"/>
      <scheme val="minor"/>
      <sz val="11"/>
      <name val="Calibri"/>
    </font>
    <font>
      <b/>
      <color rgb="FFFFFFFF"/>
    </font>
    <font>
      <b/>
      <color rgb="FFB91C1C"/>
    </font>
    <font>
      <b/>
      <sz val="14"/>
    </font>
    <font>
      <i/>
      <color rgb="FF6B7280"/>
    </font>
    <font>
      <b/>
    </font>
  </fonts>
  <fills count="6">
    <fill>
      <patternFill patternType="none"/>
    </fill>
    <fill>
      <patternFill patternType="gray125"/>
    </fill>
    <fill>
      <patternFill patternType="solid">
        <fgColor rgb="FF5B5BD6"/>
      </patternFill>
    </fill>
    <fill>
      <patternFill patternType="solid">
        <fgColor rgb="FFFEE2E2"/>
      </patternFill>
    </fill>
    <fill>
      <patternFill patternType="solid">
        <fgColor rgb="FFFEF3C7"/>
      </patternFill>
    </fill>
    <fill>
      <patternFill patternType="solid">
        <fgColor rgb="FFEEF0FF"/>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vertical="center" wrapText="1"/>
    </xf>
    <xf numFmtId="0" fontId="0" fillId="0" borderId="0" xfId="0" applyAlignment="1">
      <alignment vertical="top"/>
    </xf>
    <xf numFmtId="0" fontId="2" fillId="0" borderId="0" xfId="0" applyFont="1" applyAlignment="1">
      <alignment vertical="top"/>
    </xf>
    <xf numFmtId="0" fontId="0" fillId="0" borderId="0" xfId="0" applyAlignment="1">
      <alignment vertical="top" wrapText="1"/>
    </xf>
    <xf numFmtId="0" fontId="0" fillId="3" borderId="0" xfId="0" applyFill="1" applyAlignment="1">
      <alignment vertical="top"/>
    </xf>
    <xf numFmtId="0" fontId="0" fillId="4" borderId="0" xfId="0" applyFill="1" applyAlignment="1">
      <alignment vertical="top"/>
    </xf>
    <xf numFmtId="0" fontId="3" fillId="0" borderId="0" xfId="0" applyFont="1"/>
    <xf numFmtId="0" fontId="4" fillId="0" borderId="0" xfId="0" applyFont="1"/>
    <xf numFmtId="0" fontId="5" fillId="0" borderId="0" xfId="0" applyFont="1"/>
    <xf numFmtId="9" fontId="5" fillId="0" borderId="0" xfId="0" applyNumberFormat="1" applyFont="1"/>
    <xf numFmtId="164" fontId="5" fillId="0" borderId="0" xfId="0" applyNumberFormat="1" applyFont="1"/>
    <xf numFmtId="0" fontId="5" fillId="5" borderId="0" xfId="0" applyFont="1" applyFill="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8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0" customWidth="1"/>
    <col min="2" max="2" width="11" customWidth="1"/>
    <col min="5" max="5" width="16" customWidth="1"/>
    <col min="6" max="6" width="8" customWidth="1"/>
    <col min="7" max="7" width="38" customWidth="1"/>
    <col min="8" max="8" width="70" customWidth="1"/>
    <col min="9" max="9" width="55" customWidth="1"/>
    <col min="10" max="10" width="36" customWidth="1"/>
    <col min="11" max="11" width="16" customWidth="1"/>
    <col min="13" max="13" width="55" customWidth="1"/>
    <col min="15" max="15" width="40" customWidth="1"/>
    <col min="16" max="16" width="28" customWidth="1"/>
    <col min="18" max="19" width="15" customWidth="1"/>
  </cols>
  <sheetData>
    <row r="1" ht="22" customHeight="1" spans="1:19" s="1" customForma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s="2" customFormat="1" x14ac:dyDescent="0.25">
      <c r="A2" s="2" t="s">
        <v>19</v>
      </c>
      <c r="B2" s="2" t="s">
        <v>20</v>
      </c>
      <c r="C2" s="2" t="s">
        <v>21</v>
      </c>
      <c r="D2" s="3" t="s">
        <v>22</v>
      </c>
      <c r="E2" s="2" t="s">
        <v>23</v>
      </c>
      <c r="F2" s="2" t="s">
        <v>24</v>
      </c>
      <c r="G2" s="2" t="s">
        <v>25</v>
      </c>
      <c r="H2" s="4" t="s">
        <v>26</v>
      </c>
      <c r="I2" s="4" t="s">
        <v>27</v>
      </c>
      <c r="J2" s="4" t="s">
        <v>28</v>
      </c>
      <c r="K2" s="2" t="s">
        <v>29</v>
      </c>
      <c r="L2" s="2" t="s">
        <v>30</v>
      </c>
      <c r="M2" s="4" t="s">
        <v>31</v>
      </c>
      <c r="N2" s="2" t="s">
        <v>32</v>
      </c>
      <c r="O2" s="4" t="s">
        <v>33</v>
      </c>
      <c r="P2" s="4" t="s">
        <v>34</v>
      </c>
      <c r="Q2" s="5" t="s">
        <v>35</v>
      </c>
      <c r="R2" s="2" t="s">
        <v>36</v>
      </c>
      <c r="S2" s="2">
        <v>2.8</v>
      </c>
    </row>
    <row r="3" spans="1:19" s="2" customFormat="1" x14ac:dyDescent="0.25">
      <c r="A3" s="2" t="s">
        <v>37</v>
      </c>
      <c r="B3" s="2" t="s">
        <v>38</v>
      </c>
      <c r="C3" s="2" t="s">
        <v>21</v>
      </c>
      <c r="D3" s="3" t="s">
        <v>22</v>
      </c>
      <c r="E3" s="2" t="s">
        <v>39</v>
      </c>
      <c r="F3" s="2" t="s">
        <v>24</v>
      </c>
      <c r="G3" s="2" t="s">
        <v>40</v>
      </c>
      <c r="H3" s="4" t="s">
        <v>41</v>
      </c>
      <c r="I3" s="4" t="s">
        <v>42</v>
      </c>
      <c r="J3" s="4" t="s">
        <v>43</v>
      </c>
      <c r="K3" s="2" t="s">
        <v>29</v>
      </c>
      <c r="L3" s="2" t="s">
        <v>44</v>
      </c>
      <c r="M3" s="4" t="s">
        <v>45</v>
      </c>
      <c r="N3" s="2" t="s">
        <v>32</v>
      </c>
      <c r="O3" s="4" t="s">
        <v>46</v>
      </c>
      <c r="P3" s="4" t="s">
        <v>47</v>
      </c>
      <c r="Q3" s="5" t="s">
        <v>35</v>
      </c>
      <c r="R3" s="2" t="s">
        <v>36</v>
      </c>
      <c r="S3" s="2">
        <v>2.6</v>
      </c>
    </row>
    <row r="4" spans="1:19" s="2" customFormat="1" x14ac:dyDescent="0.25">
      <c r="A4" s="2" t="s">
        <v>48</v>
      </c>
      <c r="B4" s="2" t="s">
        <v>38</v>
      </c>
      <c r="C4" s="2" t="s">
        <v>21</v>
      </c>
      <c r="D4" s="3" t="s">
        <v>22</v>
      </c>
      <c r="E4" s="2" t="s">
        <v>39</v>
      </c>
      <c r="F4" s="2" t="s">
        <v>24</v>
      </c>
      <c r="G4" s="2" t="s">
        <v>49</v>
      </c>
      <c r="H4" s="4" t="s">
        <v>50</v>
      </c>
      <c r="I4" s="4" t="s">
        <v>42</v>
      </c>
      <c r="J4" s="4" t="s">
        <v>43</v>
      </c>
      <c r="K4" s="2" t="s">
        <v>37</v>
      </c>
      <c r="L4" s="2" t="s">
        <v>44</v>
      </c>
      <c r="M4" s="4" t="s">
        <v>45</v>
      </c>
      <c r="N4" s="2" t="s">
        <v>32</v>
      </c>
      <c r="O4" s="4" t="s">
        <v>51</v>
      </c>
      <c r="P4" s="4" t="s">
        <v>47</v>
      </c>
      <c r="Q4" s="5" t="s">
        <v>35</v>
      </c>
      <c r="R4" s="2" t="s">
        <v>36</v>
      </c>
      <c r="S4" s="2">
        <v>1.9</v>
      </c>
    </row>
    <row r="5" spans="1:19" s="2" customFormat="1" x14ac:dyDescent="0.25">
      <c r="A5" s="2" t="s">
        <v>52</v>
      </c>
      <c r="B5" s="2" t="s">
        <v>38</v>
      </c>
      <c r="C5" s="2" t="s">
        <v>21</v>
      </c>
      <c r="D5" s="3" t="s">
        <v>22</v>
      </c>
      <c r="E5" s="2" t="s">
        <v>53</v>
      </c>
      <c r="F5" s="2" t="s">
        <v>24</v>
      </c>
      <c r="G5" s="2" t="s">
        <v>54</v>
      </c>
      <c r="H5" s="4" t="s">
        <v>55</v>
      </c>
      <c r="I5" s="4" t="s">
        <v>42</v>
      </c>
      <c r="J5" s="4" t="s">
        <v>56</v>
      </c>
      <c r="K5" s="2" t="s">
        <v>57</v>
      </c>
      <c r="L5" s="2" t="s">
        <v>30</v>
      </c>
      <c r="M5" s="4" t="s">
        <v>58</v>
      </c>
      <c r="N5" s="2" t="s">
        <v>32</v>
      </c>
      <c r="O5" s="4" t="s">
        <v>59</v>
      </c>
      <c r="P5" s="4" t="s">
        <v>47</v>
      </c>
      <c r="Q5" s="2" t="s">
        <v>60</v>
      </c>
      <c r="R5" s="2" t="s">
        <v>36</v>
      </c>
      <c r="S5" s="2">
        <v>0.55</v>
      </c>
    </row>
    <row r="6" spans="1:19" s="2" customFormat="1" x14ac:dyDescent="0.25">
      <c r="A6" s="2" t="s">
        <v>61</v>
      </c>
      <c r="B6" s="2" t="s">
        <v>62</v>
      </c>
      <c r="C6" s="2" t="s">
        <v>21</v>
      </c>
      <c r="D6" s="3" t="s">
        <v>22</v>
      </c>
      <c r="E6" s="2" t="s">
        <v>23</v>
      </c>
      <c r="F6" s="2" t="s">
        <v>24</v>
      </c>
      <c r="G6" s="2" t="s">
        <v>63</v>
      </c>
      <c r="H6" s="4" t="s">
        <v>64</v>
      </c>
      <c r="I6" s="4" t="s">
        <v>65</v>
      </c>
      <c r="J6" s="4" t="s">
        <v>66</v>
      </c>
      <c r="K6" s="2" t="s">
        <v>29</v>
      </c>
      <c r="L6" s="2" t="s">
        <v>44</v>
      </c>
      <c r="M6" s="4" t="s">
        <v>67</v>
      </c>
      <c r="N6" s="2" t="s">
        <v>32</v>
      </c>
      <c r="O6" s="4" t="s">
        <v>68</v>
      </c>
      <c r="P6" s="4" t="s">
        <v>69</v>
      </c>
      <c r="Q6" s="5" t="s">
        <v>35</v>
      </c>
      <c r="R6" s="2" t="s">
        <v>36</v>
      </c>
      <c r="S6" s="2">
        <v>2.2</v>
      </c>
    </row>
    <row r="7" spans="1:19" s="2" customFormat="1" x14ac:dyDescent="0.25">
      <c r="A7" s="2" t="s">
        <v>70</v>
      </c>
      <c r="B7" s="2" t="s">
        <v>71</v>
      </c>
      <c r="C7" s="2" t="s">
        <v>21</v>
      </c>
      <c r="D7" s="2" t="s">
        <v>72</v>
      </c>
      <c r="E7" s="2" t="s">
        <v>23</v>
      </c>
      <c r="F7" s="2" t="s">
        <v>73</v>
      </c>
      <c r="G7" s="2" t="s">
        <v>74</v>
      </c>
      <c r="H7" s="4" t="s">
        <v>75</v>
      </c>
      <c r="I7" s="4" t="s">
        <v>76</v>
      </c>
      <c r="J7" s="4" t="s">
        <v>77</v>
      </c>
      <c r="K7" s="2" t="s">
        <v>29</v>
      </c>
      <c r="L7" s="2" t="s">
        <v>30</v>
      </c>
      <c r="M7" s="4" t="s">
        <v>78</v>
      </c>
      <c r="N7" s="2" t="s">
        <v>32</v>
      </c>
      <c r="O7" s="4" t="s">
        <v>79</v>
      </c>
      <c r="P7" s="4" t="s">
        <v>80</v>
      </c>
      <c r="Q7" s="5" t="s">
        <v>35</v>
      </c>
      <c r="R7" s="2" t="s">
        <v>36</v>
      </c>
      <c r="S7" s="2">
        <v>1.6</v>
      </c>
    </row>
    <row r="8" spans="1:19" s="2" customFormat="1" x14ac:dyDescent="0.25">
      <c r="A8" s="2" t="s">
        <v>81</v>
      </c>
      <c r="B8" s="2" t="s">
        <v>82</v>
      </c>
      <c r="C8" s="2" t="s">
        <v>21</v>
      </c>
      <c r="D8" s="2" t="s">
        <v>72</v>
      </c>
      <c r="E8" s="2" t="s">
        <v>39</v>
      </c>
      <c r="F8" s="2" t="s">
        <v>83</v>
      </c>
      <c r="G8" s="2" t="s">
        <v>84</v>
      </c>
      <c r="H8" s="4" t="s">
        <v>85</v>
      </c>
      <c r="I8" s="4" t="s">
        <v>86</v>
      </c>
      <c r="J8" s="4" t="s">
        <v>87</v>
      </c>
      <c r="K8" s="2" t="s">
        <v>29</v>
      </c>
      <c r="L8" s="2" t="s">
        <v>30</v>
      </c>
      <c r="M8" s="4" t="s">
        <v>88</v>
      </c>
      <c r="N8" s="2" t="s">
        <v>32</v>
      </c>
      <c r="O8" s="4" t="s">
        <v>89</v>
      </c>
      <c r="P8" s="4" t="s">
        <v>90</v>
      </c>
      <c r="Q8" s="5" t="s">
        <v>35</v>
      </c>
      <c r="R8" s="2" t="s">
        <v>36</v>
      </c>
      <c r="S8" s="2">
        <v>2.4</v>
      </c>
    </row>
    <row r="9" spans="1:19" s="2" customFormat="1" x14ac:dyDescent="0.25">
      <c r="A9" s="2" t="s">
        <v>91</v>
      </c>
      <c r="B9" s="2" t="s">
        <v>92</v>
      </c>
      <c r="C9" s="2" t="s">
        <v>21</v>
      </c>
      <c r="D9" s="2" t="s">
        <v>72</v>
      </c>
      <c r="E9" s="2" t="s">
        <v>93</v>
      </c>
      <c r="F9" s="2" t="s">
        <v>94</v>
      </c>
      <c r="G9" s="2" t="s">
        <v>95</v>
      </c>
      <c r="H9" s="4" t="s">
        <v>96</v>
      </c>
      <c r="I9" s="4" t="s">
        <v>97</v>
      </c>
      <c r="J9" s="4" t="s">
        <v>98</v>
      </c>
      <c r="K9" s="2" t="s">
        <v>29</v>
      </c>
      <c r="L9" s="2" t="s">
        <v>30</v>
      </c>
      <c r="M9" s="4" t="s">
        <v>99</v>
      </c>
      <c r="N9" s="2" t="s">
        <v>32</v>
      </c>
      <c r="O9" s="4" t="s">
        <v>100</v>
      </c>
      <c r="P9" s="4" t="s">
        <v>101</v>
      </c>
      <c r="Q9" s="2" t="s">
        <v>60</v>
      </c>
      <c r="R9" s="2" t="s">
        <v>36</v>
      </c>
      <c r="S9" s="2">
        <v>1.8</v>
      </c>
    </row>
    <row r="10" spans="1:19" s="2" customFormat="1" x14ac:dyDescent="0.25">
      <c r="A10" s="2" t="s">
        <v>102</v>
      </c>
      <c r="B10" s="2" t="s">
        <v>103</v>
      </c>
      <c r="C10" s="2" t="s">
        <v>21</v>
      </c>
      <c r="D10" s="2" t="s">
        <v>72</v>
      </c>
      <c r="E10" s="2" t="s">
        <v>93</v>
      </c>
      <c r="F10" s="2" t="s">
        <v>53</v>
      </c>
      <c r="G10" s="2" t="s">
        <v>104</v>
      </c>
      <c r="H10" s="4" t="s">
        <v>105</v>
      </c>
      <c r="I10" s="4" t="s">
        <v>106</v>
      </c>
      <c r="J10" s="4" t="s">
        <v>107</v>
      </c>
      <c r="K10" s="2" t="s">
        <v>29</v>
      </c>
      <c r="L10" s="2" t="s">
        <v>44</v>
      </c>
      <c r="M10" s="4" t="s">
        <v>108</v>
      </c>
      <c r="N10" s="2" t="s">
        <v>32</v>
      </c>
      <c r="O10" s="4" t="s">
        <v>109</v>
      </c>
      <c r="P10" s="4" t="s">
        <v>110</v>
      </c>
      <c r="Q10" s="2" t="s">
        <v>60</v>
      </c>
      <c r="R10" s="2" t="s">
        <v>36</v>
      </c>
      <c r="S10" s="2">
        <v>2.3</v>
      </c>
    </row>
    <row r="11" spans="1:19" s="2" customFormat="1" x14ac:dyDescent="0.25">
      <c r="A11" s="2" t="s">
        <v>111</v>
      </c>
      <c r="B11" s="2" t="s">
        <v>103</v>
      </c>
      <c r="C11" s="2" t="s">
        <v>21</v>
      </c>
      <c r="D11" s="2" t="s">
        <v>72</v>
      </c>
      <c r="E11" s="2" t="s">
        <v>93</v>
      </c>
      <c r="F11" s="2" t="s">
        <v>53</v>
      </c>
      <c r="G11" s="2" t="s">
        <v>112</v>
      </c>
      <c r="H11" s="4" t="s">
        <v>113</v>
      </c>
      <c r="I11" s="4" t="s">
        <v>106</v>
      </c>
      <c r="J11" s="4" t="s">
        <v>107</v>
      </c>
      <c r="K11" s="2" t="s">
        <v>102</v>
      </c>
      <c r="L11" s="2" t="s">
        <v>44</v>
      </c>
      <c r="M11" s="4" t="s">
        <v>108</v>
      </c>
      <c r="N11" s="2" t="s">
        <v>32</v>
      </c>
      <c r="O11" s="4" t="s">
        <v>114</v>
      </c>
      <c r="P11" s="4" t="s">
        <v>110</v>
      </c>
      <c r="Q11" s="2" t="s">
        <v>60</v>
      </c>
      <c r="R11" s="2" t="s">
        <v>36</v>
      </c>
      <c r="S11" s="2">
        <v>1.7</v>
      </c>
    </row>
    <row r="12" spans="1:19" s="2" customFormat="1" x14ac:dyDescent="0.25">
      <c r="A12" s="2" t="s">
        <v>115</v>
      </c>
      <c r="B12" s="2" t="s">
        <v>103</v>
      </c>
      <c r="C12" s="2" t="s">
        <v>21</v>
      </c>
      <c r="D12" s="2" t="s">
        <v>72</v>
      </c>
      <c r="E12" s="2" t="s">
        <v>53</v>
      </c>
      <c r="F12" s="2" t="s">
        <v>53</v>
      </c>
      <c r="G12" s="2" t="s">
        <v>116</v>
      </c>
      <c r="H12" s="4" t="s">
        <v>117</v>
      </c>
      <c r="I12" s="4" t="s">
        <v>106</v>
      </c>
      <c r="J12" s="4" t="s">
        <v>56</v>
      </c>
      <c r="K12" s="2" t="s">
        <v>118</v>
      </c>
      <c r="L12" s="2" t="s">
        <v>30</v>
      </c>
      <c r="M12" s="4" t="s">
        <v>58</v>
      </c>
      <c r="N12" s="2" t="s">
        <v>32</v>
      </c>
      <c r="O12" s="4" t="s">
        <v>119</v>
      </c>
      <c r="P12" s="4" t="s">
        <v>110</v>
      </c>
      <c r="Q12" s="2" t="s">
        <v>60</v>
      </c>
      <c r="R12" s="2" t="s">
        <v>36</v>
      </c>
      <c r="S12" s="2">
        <v>0.6</v>
      </c>
    </row>
    <row r="13" spans="1:19" s="2" customFormat="1" x14ac:dyDescent="0.25">
      <c r="A13" s="2" t="s">
        <v>120</v>
      </c>
      <c r="B13" s="2" t="s">
        <v>121</v>
      </c>
      <c r="C13" s="2" t="s">
        <v>21</v>
      </c>
      <c r="D13" s="2" t="s">
        <v>122</v>
      </c>
      <c r="E13" s="2" t="s">
        <v>23</v>
      </c>
      <c r="F13" s="2" t="s">
        <v>94</v>
      </c>
      <c r="G13" s="2" t="s">
        <v>123</v>
      </c>
      <c r="H13" s="4" t="s">
        <v>124</v>
      </c>
      <c r="I13" s="4" t="s">
        <v>125</v>
      </c>
      <c r="J13" s="4" t="s">
        <v>126</v>
      </c>
      <c r="K13" s="2" t="s">
        <v>29</v>
      </c>
      <c r="L13" s="2" t="s">
        <v>30</v>
      </c>
      <c r="M13" s="4" t="s">
        <v>127</v>
      </c>
      <c r="N13" s="2" t="s">
        <v>32</v>
      </c>
      <c r="O13" s="4" t="s">
        <v>128</v>
      </c>
      <c r="P13" s="4" t="s">
        <v>129</v>
      </c>
      <c r="Q13" s="2" t="s">
        <v>60</v>
      </c>
      <c r="R13" s="2" t="s">
        <v>36</v>
      </c>
      <c r="S13" s="2">
        <v>0.9</v>
      </c>
    </row>
    <row r="14" spans="1:19" s="2" customFormat="1" x14ac:dyDescent="0.25">
      <c r="A14" s="2" t="s">
        <v>130</v>
      </c>
      <c r="B14" s="2" t="s">
        <v>131</v>
      </c>
      <c r="C14" s="2" t="s">
        <v>21</v>
      </c>
      <c r="D14" s="2" t="s">
        <v>122</v>
      </c>
      <c r="E14" s="2" t="s">
        <v>23</v>
      </c>
      <c r="F14" s="2" t="s">
        <v>94</v>
      </c>
      <c r="G14" s="2" t="s">
        <v>132</v>
      </c>
      <c r="H14" s="4" t="s">
        <v>133</v>
      </c>
      <c r="I14" s="4" t="s">
        <v>134</v>
      </c>
      <c r="J14" s="4" t="s">
        <v>135</v>
      </c>
      <c r="K14" s="2" t="s">
        <v>29</v>
      </c>
      <c r="L14" s="2" t="s">
        <v>30</v>
      </c>
      <c r="M14" s="4" t="s">
        <v>136</v>
      </c>
      <c r="N14" s="2" t="s">
        <v>32</v>
      </c>
      <c r="O14" s="4" t="s">
        <v>137</v>
      </c>
      <c r="P14" s="4" t="s">
        <v>138</v>
      </c>
      <c r="Q14" s="2" t="s">
        <v>60</v>
      </c>
      <c r="R14" s="2" t="s">
        <v>36</v>
      </c>
      <c r="S14" s="2">
        <v>0.7</v>
      </c>
    </row>
    <row r="15" spans="1:19" s="2" customFormat="1" x14ac:dyDescent="0.25">
      <c r="A15" s="2" t="s">
        <v>139</v>
      </c>
      <c r="B15" s="2" t="s">
        <v>140</v>
      </c>
      <c r="C15" s="2" t="s">
        <v>21</v>
      </c>
      <c r="D15" s="2" t="s">
        <v>122</v>
      </c>
      <c r="E15" s="2" t="s">
        <v>23</v>
      </c>
      <c r="F15" s="2" t="s">
        <v>94</v>
      </c>
      <c r="G15" s="2" t="s">
        <v>141</v>
      </c>
      <c r="H15" s="4" t="s">
        <v>142</v>
      </c>
      <c r="I15" s="4" t="s">
        <v>143</v>
      </c>
      <c r="J15" s="4" t="s">
        <v>144</v>
      </c>
      <c r="K15" s="2" t="s">
        <v>29</v>
      </c>
      <c r="L15" s="2" t="s">
        <v>30</v>
      </c>
      <c r="M15" s="4" t="s">
        <v>145</v>
      </c>
      <c r="N15" s="2" t="s">
        <v>32</v>
      </c>
      <c r="O15" s="4" t="s">
        <v>146</v>
      </c>
      <c r="P15" s="4" t="s">
        <v>147</v>
      </c>
      <c r="Q15" s="2" t="s">
        <v>60</v>
      </c>
      <c r="R15" s="2" t="s">
        <v>36</v>
      </c>
      <c r="S15" s="2">
        <v>0.8</v>
      </c>
    </row>
    <row r="16" spans="1:19" s="2" customFormat="1" x14ac:dyDescent="0.25">
      <c r="A16" s="2" t="s">
        <v>148</v>
      </c>
      <c r="B16" s="2" t="s">
        <v>140</v>
      </c>
      <c r="C16" s="2" t="s">
        <v>21</v>
      </c>
      <c r="D16" s="2" t="s">
        <v>122</v>
      </c>
      <c r="E16" s="2" t="s">
        <v>23</v>
      </c>
      <c r="F16" s="2" t="s">
        <v>94</v>
      </c>
      <c r="G16" s="2" t="s">
        <v>149</v>
      </c>
      <c r="H16" s="4" t="s">
        <v>150</v>
      </c>
      <c r="I16" s="4" t="s">
        <v>143</v>
      </c>
      <c r="J16" s="4" t="s">
        <v>144</v>
      </c>
      <c r="K16" s="2" t="s">
        <v>139</v>
      </c>
      <c r="L16" s="2" t="s">
        <v>30</v>
      </c>
      <c r="M16" s="4" t="s">
        <v>145</v>
      </c>
      <c r="N16" s="2" t="s">
        <v>32</v>
      </c>
      <c r="O16" s="4" t="s">
        <v>151</v>
      </c>
      <c r="P16" s="4" t="s">
        <v>147</v>
      </c>
      <c r="Q16" s="2" t="s">
        <v>60</v>
      </c>
      <c r="R16" s="2" t="s">
        <v>36</v>
      </c>
      <c r="S16" s="2">
        <v>1.1</v>
      </c>
    </row>
    <row r="17" spans="1:19" s="2" customFormat="1" x14ac:dyDescent="0.25">
      <c r="A17" s="2" t="s">
        <v>152</v>
      </c>
      <c r="B17" s="2" t="s">
        <v>140</v>
      </c>
      <c r="C17" s="2" t="s">
        <v>21</v>
      </c>
      <c r="D17" s="2" t="s">
        <v>122</v>
      </c>
      <c r="E17" s="2" t="s">
        <v>53</v>
      </c>
      <c r="F17" s="2" t="s">
        <v>94</v>
      </c>
      <c r="G17" s="2" t="s">
        <v>153</v>
      </c>
      <c r="H17" s="4" t="s">
        <v>154</v>
      </c>
      <c r="I17" s="4" t="s">
        <v>143</v>
      </c>
      <c r="J17" s="4" t="s">
        <v>56</v>
      </c>
      <c r="K17" s="2" t="s">
        <v>155</v>
      </c>
      <c r="L17" s="2" t="s">
        <v>30</v>
      </c>
      <c r="M17" s="4" t="s">
        <v>58</v>
      </c>
      <c r="N17" s="2" t="s">
        <v>32</v>
      </c>
      <c r="O17" s="4" t="s">
        <v>156</v>
      </c>
      <c r="P17" s="4" t="s">
        <v>147</v>
      </c>
      <c r="Q17" s="2" t="s">
        <v>60</v>
      </c>
      <c r="R17" s="2" t="s">
        <v>36</v>
      </c>
      <c r="S17" s="2">
        <v>0.35</v>
      </c>
    </row>
    <row r="18" spans="1:19" s="2" customFormat="1" x14ac:dyDescent="0.25">
      <c r="A18" s="2" t="s">
        <v>157</v>
      </c>
      <c r="B18" s="2" t="s">
        <v>158</v>
      </c>
      <c r="C18" s="2" t="s">
        <v>21</v>
      </c>
      <c r="D18" s="2" t="s">
        <v>122</v>
      </c>
      <c r="E18" s="2" t="s">
        <v>23</v>
      </c>
      <c r="F18" s="2" t="s">
        <v>159</v>
      </c>
      <c r="G18" s="2" t="s">
        <v>160</v>
      </c>
      <c r="H18" s="4" t="s">
        <v>161</v>
      </c>
      <c r="I18" s="4" t="s">
        <v>162</v>
      </c>
      <c r="J18" s="4" t="s">
        <v>163</v>
      </c>
      <c r="K18" s="2" t="s">
        <v>29</v>
      </c>
      <c r="L18" s="2" t="s">
        <v>30</v>
      </c>
      <c r="M18" s="4" t="s">
        <v>164</v>
      </c>
      <c r="N18" s="2" t="s">
        <v>32</v>
      </c>
      <c r="O18" s="4" t="s">
        <v>165</v>
      </c>
      <c r="P18" s="4" t="s">
        <v>166</v>
      </c>
      <c r="Q18" s="2" t="s">
        <v>60</v>
      </c>
      <c r="R18" s="2" t="s">
        <v>36</v>
      </c>
      <c r="S18" s="2">
        <v>1.2</v>
      </c>
    </row>
    <row r="19" spans="1:19" s="2" customFormat="1" x14ac:dyDescent="0.25">
      <c r="A19" s="2" t="s">
        <v>167</v>
      </c>
      <c r="B19" s="2" t="s">
        <v>158</v>
      </c>
      <c r="C19" s="2" t="s">
        <v>21</v>
      </c>
      <c r="D19" s="2" t="s">
        <v>122</v>
      </c>
      <c r="E19" s="2" t="s">
        <v>23</v>
      </c>
      <c r="F19" s="2" t="s">
        <v>159</v>
      </c>
      <c r="G19" s="2" t="s">
        <v>168</v>
      </c>
      <c r="H19" s="4" t="s">
        <v>169</v>
      </c>
      <c r="I19" s="4" t="s">
        <v>162</v>
      </c>
      <c r="J19" s="4" t="s">
        <v>163</v>
      </c>
      <c r="K19" s="2" t="s">
        <v>157</v>
      </c>
      <c r="L19" s="2" t="s">
        <v>30</v>
      </c>
      <c r="M19" s="4" t="s">
        <v>164</v>
      </c>
      <c r="N19" s="2" t="s">
        <v>32</v>
      </c>
      <c r="O19" s="4" t="s">
        <v>170</v>
      </c>
      <c r="P19" s="4" t="s">
        <v>166</v>
      </c>
      <c r="Q19" s="2" t="s">
        <v>60</v>
      </c>
      <c r="R19" s="2" t="s">
        <v>36</v>
      </c>
      <c r="S19" s="2">
        <v>1</v>
      </c>
    </row>
    <row r="20" spans="1:19" s="2" customFormat="1" x14ac:dyDescent="0.25">
      <c r="A20" s="2" t="s">
        <v>171</v>
      </c>
      <c r="B20" s="2" t="s">
        <v>158</v>
      </c>
      <c r="C20" s="2" t="s">
        <v>21</v>
      </c>
      <c r="D20" s="2" t="s">
        <v>122</v>
      </c>
      <c r="E20" s="2" t="s">
        <v>53</v>
      </c>
      <c r="F20" s="2" t="s">
        <v>159</v>
      </c>
      <c r="G20" s="2" t="s">
        <v>172</v>
      </c>
      <c r="H20" s="4" t="s">
        <v>173</v>
      </c>
      <c r="I20" s="4" t="s">
        <v>162</v>
      </c>
      <c r="J20" s="4" t="s">
        <v>56</v>
      </c>
      <c r="K20" s="2" t="s">
        <v>174</v>
      </c>
      <c r="L20" s="2" t="s">
        <v>30</v>
      </c>
      <c r="M20" s="4" t="s">
        <v>58</v>
      </c>
      <c r="N20" s="2" t="s">
        <v>32</v>
      </c>
      <c r="O20" s="4" t="s">
        <v>175</v>
      </c>
      <c r="P20" s="4" t="s">
        <v>166</v>
      </c>
      <c r="Q20" s="2" t="s">
        <v>60</v>
      </c>
      <c r="R20" s="2" t="s">
        <v>36</v>
      </c>
      <c r="S20" s="2">
        <v>0.3</v>
      </c>
    </row>
    <row r="21" spans="1:19" s="2" customFormat="1" x14ac:dyDescent="0.25">
      <c r="A21" s="2" t="s">
        <v>176</v>
      </c>
      <c r="B21" s="2" t="s">
        <v>177</v>
      </c>
      <c r="C21" s="2" t="s">
        <v>21</v>
      </c>
      <c r="D21" s="2" t="s">
        <v>122</v>
      </c>
      <c r="E21" s="2" t="s">
        <v>39</v>
      </c>
      <c r="F21" s="2" t="s">
        <v>94</v>
      </c>
      <c r="G21" s="2" t="s">
        <v>178</v>
      </c>
      <c r="H21" s="4" t="s">
        <v>179</v>
      </c>
      <c r="I21" s="4" t="s">
        <v>180</v>
      </c>
      <c r="J21" s="4" t="s">
        <v>181</v>
      </c>
      <c r="K21" s="2" t="s">
        <v>29</v>
      </c>
      <c r="L21" s="2" t="s">
        <v>30</v>
      </c>
      <c r="M21" s="4" t="s">
        <v>182</v>
      </c>
      <c r="N21" s="2" t="s">
        <v>32</v>
      </c>
      <c r="O21" s="4" t="s">
        <v>183</v>
      </c>
      <c r="P21" s="4" t="s">
        <v>184</v>
      </c>
      <c r="Q21" s="2" t="s">
        <v>60</v>
      </c>
      <c r="R21" s="2" t="s">
        <v>36</v>
      </c>
      <c r="S21" s="2">
        <v>0.6</v>
      </c>
    </row>
    <row r="22" spans="1:19" s="2" customFormat="1" x14ac:dyDescent="0.25">
      <c r="A22" s="2" t="s">
        <v>185</v>
      </c>
      <c r="B22" s="2" t="s">
        <v>186</v>
      </c>
      <c r="C22" s="2" t="s">
        <v>21</v>
      </c>
      <c r="D22" s="2" t="s">
        <v>122</v>
      </c>
      <c r="E22" s="2" t="s">
        <v>39</v>
      </c>
      <c r="F22" s="2" t="s">
        <v>187</v>
      </c>
      <c r="G22" s="2" t="s">
        <v>188</v>
      </c>
      <c r="H22" s="4" t="s">
        <v>189</v>
      </c>
      <c r="I22" s="4" t="s">
        <v>190</v>
      </c>
      <c r="J22" s="4" t="s">
        <v>191</v>
      </c>
      <c r="K22" s="2" t="s">
        <v>29</v>
      </c>
      <c r="L22" s="2" t="s">
        <v>30</v>
      </c>
      <c r="M22" s="4" t="s">
        <v>192</v>
      </c>
      <c r="N22" s="2" t="s">
        <v>32</v>
      </c>
      <c r="O22" s="4" t="s">
        <v>193</v>
      </c>
      <c r="P22" s="4" t="s">
        <v>194</v>
      </c>
      <c r="Q22" s="2" t="s">
        <v>60</v>
      </c>
      <c r="R22" s="2" t="s">
        <v>36</v>
      </c>
      <c r="S22" s="2">
        <v>1.4</v>
      </c>
    </row>
    <row r="23" spans="1:19" s="2" customFormat="1" x14ac:dyDescent="0.25">
      <c r="A23" s="2" t="s">
        <v>195</v>
      </c>
      <c r="B23" s="2" t="s">
        <v>186</v>
      </c>
      <c r="C23" s="2" t="s">
        <v>21</v>
      </c>
      <c r="D23" s="2" t="s">
        <v>122</v>
      </c>
      <c r="E23" s="2" t="s">
        <v>39</v>
      </c>
      <c r="F23" s="2" t="s">
        <v>187</v>
      </c>
      <c r="G23" s="2" t="s">
        <v>196</v>
      </c>
      <c r="H23" s="4" t="s">
        <v>197</v>
      </c>
      <c r="I23" s="4" t="s">
        <v>190</v>
      </c>
      <c r="J23" s="4" t="s">
        <v>191</v>
      </c>
      <c r="K23" s="2" t="s">
        <v>185</v>
      </c>
      <c r="L23" s="2" t="s">
        <v>30</v>
      </c>
      <c r="M23" s="4" t="s">
        <v>192</v>
      </c>
      <c r="N23" s="2" t="s">
        <v>32</v>
      </c>
      <c r="O23" s="4" t="s">
        <v>198</v>
      </c>
      <c r="P23" s="4" t="s">
        <v>194</v>
      </c>
      <c r="Q23" s="2" t="s">
        <v>60</v>
      </c>
      <c r="R23" s="2" t="s">
        <v>36</v>
      </c>
      <c r="S23" s="2">
        <v>1.3</v>
      </c>
    </row>
    <row r="24" spans="1:19" s="2" customFormat="1" x14ac:dyDescent="0.25">
      <c r="A24" s="2" t="s">
        <v>199</v>
      </c>
      <c r="B24" s="2" t="s">
        <v>186</v>
      </c>
      <c r="C24" s="2" t="s">
        <v>21</v>
      </c>
      <c r="D24" s="2" t="s">
        <v>122</v>
      </c>
      <c r="E24" s="2" t="s">
        <v>53</v>
      </c>
      <c r="F24" s="2" t="s">
        <v>187</v>
      </c>
      <c r="G24" s="2" t="s">
        <v>200</v>
      </c>
      <c r="H24" s="4" t="s">
        <v>201</v>
      </c>
      <c r="I24" s="4" t="s">
        <v>190</v>
      </c>
      <c r="J24" s="4" t="s">
        <v>56</v>
      </c>
      <c r="K24" s="2" t="s">
        <v>202</v>
      </c>
      <c r="L24" s="2" t="s">
        <v>30</v>
      </c>
      <c r="M24" s="4" t="s">
        <v>58</v>
      </c>
      <c r="N24" s="2" t="s">
        <v>32</v>
      </c>
      <c r="O24" s="4" t="s">
        <v>203</v>
      </c>
      <c r="P24" s="4" t="s">
        <v>194</v>
      </c>
      <c r="Q24" s="2" t="s">
        <v>60</v>
      </c>
      <c r="R24" s="2" t="s">
        <v>36</v>
      </c>
      <c r="S24" s="2">
        <v>0.3</v>
      </c>
    </row>
    <row r="25" spans="1:19" s="2" customFormat="1" x14ac:dyDescent="0.25">
      <c r="A25" s="2" t="s">
        <v>204</v>
      </c>
      <c r="B25" s="2" t="s">
        <v>205</v>
      </c>
      <c r="C25" s="2" t="s">
        <v>21</v>
      </c>
      <c r="D25" s="2" t="s">
        <v>122</v>
      </c>
      <c r="E25" s="2" t="s">
        <v>93</v>
      </c>
      <c r="F25" s="2" t="s">
        <v>83</v>
      </c>
      <c r="G25" s="2" t="s">
        <v>206</v>
      </c>
      <c r="H25" s="4" t="s">
        <v>207</v>
      </c>
      <c r="I25" s="4" t="s">
        <v>208</v>
      </c>
      <c r="J25" s="4" t="s">
        <v>209</v>
      </c>
      <c r="K25" s="2" t="s">
        <v>29</v>
      </c>
      <c r="L25" s="2" t="s">
        <v>30</v>
      </c>
      <c r="M25" s="4" t="s">
        <v>210</v>
      </c>
      <c r="N25" s="2" t="s">
        <v>32</v>
      </c>
      <c r="O25" s="4" t="s">
        <v>211</v>
      </c>
      <c r="P25" s="4" t="s">
        <v>212</v>
      </c>
      <c r="Q25" s="2" t="s">
        <v>60</v>
      </c>
      <c r="R25" s="2" t="s">
        <v>36</v>
      </c>
      <c r="S25" s="2">
        <v>1.6</v>
      </c>
    </row>
    <row r="26" spans="1:19" s="2" customFormat="1" x14ac:dyDescent="0.25">
      <c r="A26" s="2" t="s">
        <v>213</v>
      </c>
      <c r="B26" s="2" t="s">
        <v>214</v>
      </c>
      <c r="C26" s="2" t="s">
        <v>21</v>
      </c>
      <c r="D26" s="2" t="s">
        <v>122</v>
      </c>
      <c r="E26" s="2" t="s">
        <v>93</v>
      </c>
      <c r="F26" s="2" t="s">
        <v>94</v>
      </c>
      <c r="G26" s="2" t="s">
        <v>215</v>
      </c>
      <c r="H26" s="4" t="s">
        <v>216</v>
      </c>
      <c r="I26" s="4" t="s">
        <v>217</v>
      </c>
      <c r="J26" s="4" t="s">
        <v>218</v>
      </c>
      <c r="K26" s="2" t="s">
        <v>29</v>
      </c>
      <c r="L26" s="2" t="s">
        <v>30</v>
      </c>
      <c r="M26" s="4" t="s">
        <v>219</v>
      </c>
      <c r="N26" s="2" t="s">
        <v>32</v>
      </c>
      <c r="O26" s="4" t="s">
        <v>220</v>
      </c>
      <c r="P26" s="4" t="s">
        <v>221</v>
      </c>
      <c r="Q26" s="2" t="s">
        <v>60</v>
      </c>
      <c r="R26" s="2" t="s">
        <v>36</v>
      </c>
      <c r="S26" s="2">
        <v>0.7</v>
      </c>
    </row>
    <row r="27" spans="1:19" s="2" customFormat="1" x14ac:dyDescent="0.25">
      <c r="A27" s="2" t="s">
        <v>222</v>
      </c>
      <c r="B27" s="2" t="s">
        <v>223</v>
      </c>
      <c r="C27" s="2" t="s">
        <v>21</v>
      </c>
      <c r="D27" s="2" t="s">
        <v>122</v>
      </c>
      <c r="E27" s="2" t="s">
        <v>224</v>
      </c>
      <c r="F27" s="2" t="s">
        <v>94</v>
      </c>
      <c r="G27" s="2" t="s">
        <v>225</v>
      </c>
      <c r="H27" s="4" t="s">
        <v>226</v>
      </c>
      <c r="I27" s="4" t="s">
        <v>227</v>
      </c>
      <c r="J27" s="4" t="s">
        <v>228</v>
      </c>
      <c r="K27" s="2" t="s">
        <v>29</v>
      </c>
      <c r="L27" s="2" t="s">
        <v>30</v>
      </c>
      <c r="M27" s="4" t="s">
        <v>229</v>
      </c>
      <c r="N27" s="2" t="s">
        <v>32</v>
      </c>
      <c r="O27" s="4" t="s">
        <v>230</v>
      </c>
      <c r="P27" s="4" t="s">
        <v>231</v>
      </c>
      <c r="Q27" s="2" t="s">
        <v>60</v>
      </c>
      <c r="R27" s="2" t="s">
        <v>36</v>
      </c>
      <c r="S27" s="2">
        <v>1</v>
      </c>
    </row>
    <row r="28" spans="1:19" s="2" customFormat="1" x14ac:dyDescent="0.25">
      <c r="A28" s="2" t="s">
        <v>232</v>
      </c>
      <c r="B28" s="2" t="s">
        <v>223</v>
      </c>
      <c r="C28" s="2" t="s">
        <v>21</v>
      </c>
      <c r="D28" s="2" t="s">
        <v>122</v>
      </c>
      <c r="E28" s="2" t="s">
        <v>224</v>
      </c>
      <c r="F28" s="2" t="s">
        <v>94</v>
      </c>
      <c r="G28" s="2" t="s">
        <v>233</v>
      </c>
      <c r="H28" s="4" t="s">
        <v>234</v>
      </c>
      <c r="I28" s="4" t="s">
        <v>227</v>
      </c>
      <c r="J28" s="4" t="s">
        <v>228</v>
      </c>
      <c r="K28" s="2" t="s">
        <v>222</v>
      </c>
      <c r="L28" s="2" t="s">
        <v>30</v>
      </c>
      <c r="M28" s="4" t="s">
        <v>229</v>
      </c>
      <c r="N28" s="2" t="s">
        <v>32</v>
      </c>
      <c r="O28" s="4" t="s">
        <v>235</v>
      </c>
      <c r="P28" s="4" t="s">
        <v>231</v>
      </c>
      <c r="Q28" s="2" t="s">
        <v>60</v>
      </c>
      <c r="R28" s="2" t="s">
        <v>36</v>
      </c>
      <c r="S28" s="2">
        <v>1.2</v>
      </c>
    </row>
    <row r="29" spans="1:19" s="2" customFormat="1" x14ac:dyDescent="0.25">
      <c r="A29" s="2" t="s">
        <v>236</v>
      </c>
      <c r="B29" s="2" t="s">
        <v>223</v>
      </c>
      <c r="C29" s="2" t="s">
        <v>21</v>
      </c>
      <c r="D29" s="2" t="s">
        <v>122</v>
      </c>
      <c r="E29" s="2" t="s">
        <v>53</v>
      </c>
      <c r="F29" s="2" t="s">
        <v>94</v>
      </c>
      <c r="G29" s="2" t="s">
        <v>237</v>
      </c>
      <c r="H29" s="4" t="s">
        <v>238</v>
      </c>
      <c r="I29" s="4" t="s">
        <v>227</v>
      </c>
      <c r="J29" s="4" t="s">
        <v>56</v>
      </c>
      <c r="K29" s="2" t="s">
        <v>239</v>
      </c>
      <c r="L29" s="2" t="s">
        <v>30</v>
      </c>
      <c r="M29" s="4" t="s">
        <v>58</v>
      </c>
      <c r="N29" s="2" t="s">
        <v>32</v>
      </c>
      <c r="O29" s="4" t="s">
        <v>240</v>
      </c>
      <c r="P29" s="4" t="s">
        <v>231</v>
      </c>
      <c r="Q29" s="2" t="s">
        <v>60</v>
      </c>
      <c r="R29" s="2" t="s">
        <v>36</v>
      </c>
      <c r="S29" s="2">
        <v>0.3</v>
      </c>
    </row>
    <row r="30" spans="1:19" s="2" customFormat="1" x14ac:dyDescent="0.25">
      <c r="A30" s="2" t="s">
        <v>241</v>
      </c>
      <c r="B30" s="2" t="s">
        <v>242</v>
      </c>
      <c r="C30" s="2" t="s">
        <v>21</v>
      </c>
      <c r="D30" s="2" t="s">
        <v>122</v>
      </c>
      <c r="E30" s="2" t="s">
        <v>39</v>
      </c>
      <c r="F30" s="2" t="s">
        <v>94</v>
      </c>
      <c r="G30" s="2" t="s">
        <v>243</v>
      </c>
      <c r="H30" s="4" t="s">
        <v>244</v>
      </c>
      <c r="I30" s="4" t="s">
        <v>245</v>
      </c>
      <c r="J30" s="4" t="s">
        <v>246</v>
      </c>
      <c r="K30" s="2" t="s">
        <v>29</v>
      </c>
      <c r="L30" s="2" t="s">
        <v>30</v>
      </c>
      <c r="M30" s="4" t="s">
        <v>247</v>
      </c>
      <c r="N30" s="2" t="s">
        <v>32</v>
      </c>
      <c r="O30" s="4" t="s">
        <v>248</v>
      </c>
      <c r="P30" s="4" t="s">
        <v>249</v>
      </c>
      <c r="Q30" s="2" t="s">
        <v>60</v>
      </c>
      <c r="R30" s="2" t="s">
        <v>36</v>
      </c>
      <c r="S30" s="2">
        <v>0.9</v>
      </c>
    </row>
    <row r="31" spans="1:19" s="2" customFormat="1" x14ac:dyDescent="0.25">
      <c r="A31" s="2" t="s">
        <v>250</v>
      </c>
      <c r="B31" s="2" t="s">
        <v>242</v>
      </c>
      <c r="C31" s="2" t="s">
        <v>21</v>
      </c>
      <c r="D31" s="2" t="s">
        <v>122</v>
      </c>
      <c r="E31" s="2" t="s">
        <v>39</v>
      </c>
      <c r="F31" s="2" t="s">
        <v>94</v>
      </c>
      <c r="G31" s="2" t="s">
        <v>251</v>
      </c>
      <c r="H31" s="4" t="s">
        <v>252</v>
      </c>
      <c r="I31" s="4" t="s">
        <v>245</v>
      </c>
      <c r="J31" s="4" t="s">
        <v>246</v>
      </c>
      <c r="K31" s="2" t="s">
        <v>241</v>
      </c>
      <c r="L31" s="2" t="s">
        <v>30</v>
      </c>
      <c r="M31" s="4" t="s">
        <v>247</v>
      </c>
      <c r="N31" s="2" t="s">
        <v>32</v>
      </c>
      <c r="O31" s="4" t="s">
        <v>253</v>
      </c>
      <c r="P31" s="4" t="s">
        <v>249</v>
      </c>
      <c r="Q31" s="2" t="s">
        <v>60</v>
      </c>
      <c r="R31" s="2" t="s">
        <v>36</v>
      </c>
      <c r="S31" s="2">
        <v>1</v>
      </c>
    </row>
    <row r="32" spans="1:19" s="2" customFormat="1" x14ac:dyDescent="0.25">
      <c r="A32" s="2" t="s">
        <v>254</v>
      </c>
      <c r="B32" s="2" t="s">
        <v>242</v>
      </c>
      <c r="C32" s="2" t="s">
        <v>21</v>
      </c>
      <c r="D32" s="2" t="s">
        <v>122</v>
      </c>
      <c r="E32" s="2" t="s">
        <v>53</v>
      </c>
      <c r="F32" s="2" t="s">
        <v>94</v>
      </c>
      <c r="G32" s="2" t="s">
        <v>255</v>
      </c>
      <c r="H32" s="4" t="s">
        <v>256</v>
      </c>
      <c r="I32" s="4" t="s">
        <v>245</v>
      </c>
      <c r="J32" s="4" t="s">
        <v>56</v>
      </c>
      <c r="K32" s="2" t="s">
        <v>257</v>
      </c>
      <c r="L32" s="2" t="s">
        <v>30</v>
      </c>
      <c r="M32" s="4" t="s">
        <v>58</v>
      </c>
      <c r="N32" s="2" t="s">
        <v>32</v>
      </c>
      <c r="O32" s="4" t="s">
        <v>258</v>
      </c>
      <c r="P32" s="4" t="s">
        <v>249</v>
      </c>
      <c r="Q32" s="2" t="s">
        <v>60</v>
      </c>
      <c r="R32" s="2" t="s">
        <v>36</v>
      </c>
      <c r="S32" s="2">
        <v>0.3</v>
      </c>
    </row>
    <row r="33" spans="1:19" s="2" customFormat="1" x14ac:dyDescent="0.25">
      <c r="A33" s="2" t="s">
        <v>259</v>
      </c>
      <c r="B33" s="2" t="s">
        <v>260</v>
      </c>
      <c r="C33" s="2" t="s">
        <v>21</v>
      </c>
      <c r="D33" s="2" t="s">
        <v>122</v>
      </c>
      <c r="E33" s="2" t="s">
        <v>224</v>
      </c>
      <c r="F33" s="2" t="s">
        <v>83</v>
      </c>
      <c r="G33" s="2" t="s">
        <v>261</v>
      </c>
      <c r="H33" s="4" t="s">
        <v>262</v>
      </c>
      <c r="I33" s="4" t="s">
        <v>263</v>
      </c>
      <c r="J33" s="4" t="s">
        <v>264</v>
      </c>
      <c r="K33" s="2" t="s">
        <v>29</v>
      </c>
      <c r="L33" s="2" t="s">
        <v>30</v>
      </c>
      <c r="M33" s="4" t="s">
        <v>265</v>
      </c>
      <c r="N33" s="2" t="s">
        <v>32</v>
      </c>
      <c r="O33" s="4" t="s">
        <v>266</v>
      </c>
      <c r="P33" s="4" t="s">
        <v>267</v>
      </c>
      <c r="Q33" s="2" t="s">
        <v>60</v>
      </c>
      <c r="R33" s="2" t="s">
        <v>36</v>
      </c>
      <c r="S33" s="2">
        <v>0.9</v>
      </c>
    </row>
    <row r="34" spans="1:19" s="2" customFormat="1" x14ac:dyDescent="0.25">
      <c r="A34" s="2" t="s">
        <v>268</v>
      </c>
      <c r="B34" s="2" t="s">
        <v>269</v>
      </c>
      <c r="C34" s="2" t="s">
        <v>270</v>
      </c>
      <c r="D34" s="2" t="s">
        <v>72</v>
      </c>
      <c r="E34" s="2" t="s">
        <v>39</v>
      </c>
      <c r="F34" s="2" t="s">
        <v>94</v>
      </c>
      <c r="G34" s="2" t="s">
        <v>271</v>
      </c>
      <c r="H34" s="4" t="s">
        <v>272</v>
      </c>
      <c r="I34" s="4" t="s">
        <v>273</v>
      </c>
      <c r="J34" s="4" t="s">
        <v>274</v>
      </c>
      <c r="K34" s="2" t="s">
        <v>29</v>
      </c>
      <c r="L34" s="2" t="s">
        <v>44</v>
      </c>
      <c r="M34" s="4" t="s">
        <v>275</v>
      </c>
      <c r="N34" s="2" t="s">
        <v>32</v>
      </c>
      <c r="O34" s="4" t="s">
        <v>276</v>
      </c>
      <c r="P34" s="4" t="s">
        <v>277</v>
      </c>
      <c r="Q34" s="6" t="s">
        <v>278</v>
      </c>
      <c r="R34" s="2" t="s">
        <v>36</v>
      </c>
      <c r="S34" s="2">
        <v>1.8</v>
      </c>
    </row>
    <row r="35" spans="1:19" s="2" customFormat="1" x14ac:dyDescent="0.25">
      <c r="A35" s="2" t="s">
        <v>279</v>
      </c>
      <c r="B35" s="2" t="s">
        <v>280</v>
      </c>
      <c r="C35" s="2" t="s">
        <v>270</v>
      </c>
      <c r="D35" s="2" t="s">
        <v>72</v>
      </c>
      <c r="E35" s="2" t="s">
        <v>93</v>
      </c>
      <c r="F35" s="2" t="s">
        <v>159</v>
      </c>
      <c r="G35" s="2" t="s">
        <v>281</v>
      </c>
      <c r="H35" s="4" t="s">
        <v>282</v>
      </c>
      <c r="I35" s="4" t="s">
        <v>283</v>
      </c>
      <c r="J35" s="4" t="s">
        <v>284</v>
      </c>
      <c r="K35" s="2" t="s">
        <v>29</v>
      </c>
      <c r="L35" s="2" t="s">
        <v>285</v>
      </c>
      <c r="M35" s="4" t="s">
        <v>286</v>
      </c>
      <c r="N35" s="2" t="s">
        <v>32</v>
      </c>
      <c r="O35" s="4" t="s">
        <v>287</v>
      </c>
      <c r="P35" s="4" t="s">
        <v>288</v>
      </c>
      <c r="Q35" s="5" t="s">
        <v>35</v>
      </c>
      <c r="R35" s="2" t="s">
        <v>36</v>
      </c>
      <c r="S35" s="2">
        <v>3.2</v>
      </c>
    </row>
    <row r="36" spans="1:19" s="2" customFormat="1" x14ac:dyDescent="0.25">
      <c r="A36" s="2" t="s">
        <v>289</v>
      </c>
      <c r="B36" s="2" t="s">
        <v>280</v>
      </c>
      <c r="C36" s="2" t="s">
        <v>270</v>
      </c>
      <c r="D36" s="2" t="s">
        <v>72</v>
      </c>
      <c r="E36" s="2" t="s">
        <v>93</v>
      </c>
      <c r="F36" s="2" t="s">
        <v>159</v>
      </c>
      <c r="G36" s="2" t="s">
        <v>290</v>
      </c>
      <c r="H36" s="4" t="s">
        <v>291</v>
      </c>
      <c r="I36" s="4" t="s">
        <v>283</v>
      </c>
      <c r="J36" s="4" t="s">
        <v>284</v>
      </c>
      <c r="K36" s="2" t="s">
        <v>279</v>
      </c>
      <c r="L36" s="2" t="s">
        <v>285</v>
      </c>
      <c r="M36" s="4" t="s">
        <v>286</v>
      </c>
      <c r="N36" s="2" t="s">
        <v>32</v>
      </c>
      <c r="O36" s="4" t="s">
        <v>292</v>
      </c>
      <c r="P36" s="4" t="s">
        <v>288</v>
      </c>
      <c r="Q36" s="5" t="s">
        <v>35</v>
      </c>
      <c r="R36" s="2" t="s">
        <v>36</v>
      </c>
      <c r="S36" s="2">
        <v>1.4</v>
      </c>
    </row>
    <row r="37" spans="1:19" s="2" customFormat="1" x14ac:dyDescent="0.25">
      <c r="A37" s="2" t="s">
        <v>293</v>
      </c>
      <c r="B37" s="2" t="s">
        <v>280</v>
      </c>
      <c r="C37" s="2" t="s">
        <v>270</v>
      </c>
      <c r="D37" s="2" t="s">
        <v>72</v>
      </c>
      <c r="E37" s="2" t="s">
        <v>53</v>
      </c>
      <c r="F37" s="2" t="s">
        <v>159</v>
      </c>
      <c r="G37" s="2" t="s">
        <v>294</v>
      </c>
      <c r="H37" s="4" t="s">
        <v>295</v>
      </c>
      <c r="I37" s="4" t="s">
        <v>283</v>
      </c>
      <c r="J37" s="4" t="s">
        <v>56</v>
      </c>
      <c r="K37" s="2" t="s">
        <v>296</v>
      </c>
      <c r="L37" s="2" t="s">
        <v>30</v>
      </c>
      <c r="M37" s="4" t="s">
        <v>58</v>
      </c>
      <c r="N37" s="2" t="s">
        <v>32</v>
      </c>
      <c r="O37" s="4" t="s">
        <v>297</v>
      </c>
      <c r="P37" s="4" t="s">
        <v>288</v>
      </c>
      <c r="Q37" s="2" t="s">
        <v>60</v>
      </c>
      <c r="R37" s="2" t="s">
        <v>36</v>
      </c>
      <c r="S37" s="2">
        <v>0.4</v>
      </c>
    </row>
    <row r="38" spans="1:19" s="2" customFormat="1" x14ac:dyDescent="0.25">
      <c r="A38" s="2" t="s">
        <v>298</v>
      </c>
      <c r="B38" s="2" t="s">
        <v>299</v>
      </c>
      <c r="C38" s="2" t="s">
        <v>270</v>
      </c>
      <c r="D38" s="2" t="s">
        <v>72</v>
      </c>
      <c r="E38" s="2" t="s">
        <v>93</v>
      </c>
      <c r="F38" s="2" t="s">
        <v>73</v>
      </c>
      <c r="G38" s="2" t="s">
        <v>300</v>
      </c>
      <c r="H38" s="4" t="s">
        <v>301</v>
      </c>
      <c r="I38" s="4" t="s">
        <v>302</v>
      </c>
      <c r="J38" s="4" t="s">
        <v>303</v>
      </c>
      <c r="K38" s="2" t="s">
        <v>29</v>
      </c>
      <c r="L38" s="2" t="s">
        <v>285</v>
      </c>
      <c r="M38" s="4" t="s">
        <v>304</v>
      </c>
      <c r="N38" s="2" t="s">
        <v>32</v>
      </c>
      <c r="O38" s="4" t="s">
        <v>305</v>
      </c>
      <c r="P38" s="4" t="s">
        <v>306</v>
      </c>
      <c r="Q38" s="6" t="s">
        <v>278</v>
      </c>
      <c r="R38" s="2" t="s">
        <v>36</v>
      </c>
      <c r="S38" s="2">
        <v>1.5</v>
      </c>
    </row>
    <row r="39" spans="1:19" s="2" customFormat="1" x14ac:dyDescent="0.25">
      <c r="A39" s="2" t="s">
        <v>307</v>
      </c>
      <c r="B39" s="2" t="s">
        <v>299</v>
      </c>
      <c r="C39" s="2" t="s">
        <v>270</v>
      </c>
      <c r="D39" s="2" t="s">
        <v>72</v>
      </c>
      <c r="E39" s="2" t="s">
        <v>93</v>
      </c>
      <c r="F39" s="2" t="s">
        <v>73</v>
      </c>
      <c r="G39" s="2" t="s">
        <v>308</v>
      </c>
      <c r="H39" s="4" t="s">
        <v>309</v>
      </c>
      <c r="I39" s="4" t="s">
        <v>302</v>
      </c>
      <c r="J39" s="4" t="s">
        <v>303</v>
      </c>
      <c r="K39" s="2" t="s">
        <v>298</v>
      </c>
      <c r="L39" s="2" t="s">
        <v>285</v>
      </c>
      <c r="M39" s="4" t="s">
        <v>304</v>
      </c>
      <c r="N39" s="2" t="s">
        <v>32</v>
      </c>
      <c r="O39" s="4" t="s">
        <v>310</v>
      </c>
      <c r="P39" s="4" t="s">
        <v>306</v>
      </c>
      <c r="Q39" s="6" t="s">
        <v>278</v>
      </c>
      <c r="R39" s="2" t="s">
        <v>36</v>
      </c>
      <c r="S39" s="2">
        <v>1.3</v>
      </c>
    </row>
    <row r="40" spans="1:19" s="2" customFormat="1" x14ac:dyDescent="0.25">
      <c r="A40" s="2" t="s">
        <v>311</v>
      </c>
      <c r="B40" s="2" t="s">
        <v>299</v>
      </c>
      <c r="C40" s="2" t="s">
        <v>270</v>
      </c>
      <c r="D40" s="2" t="s">
        <v>72</v>
      </c>
      <c r="E40" s="2" t="s">
        <v>53</v>
      </c>
      <c r="F40" s="2" t="s">
        <v>73</v>
      </c>
      <c r="G40" s="2" t="s">
        <v>312</v>
      </c>
      <c r="H40" s="4" t="s">
        <v>313</v>
      </c>
      <c r="I40" s="4" t="s">
        <v>302</v>
      </c>
      <c r="J40" s="4" t="s">
        <v>56</v>
      </c>
      <c r="K40" s="2" t="s">
        <v>314</v>
      </c>
      <c r="L40" s="2" t="s">
        <v>30</v>
      </c>
      <c r="M40" s="4" t="s">
        <v>58</v>
      </c>
      <c r="N40" s="2" t="s">
        <v>32</v>
      </c>
      <c r="O40" s="4" t="s">
        <v>315</v>
      </c>
      <c r="P40" s="4" t="s">
        <v>306</v>
      </c>
      <c r="Q40" s="2" t="s">
        <v>60</v>
      </c>
      <c r="R40" s="2" t="s">
        <v>36</v>
      </c>
      <c r="S40" s="2">
        <v>0.35</v>
      </c>
    </row>
    <row r="41" spans="1:19" s="2" customFormat="1" x14ac:dyDescent="0.25">
      <c r="A41" s="2" t="s">
        <v>316</v>
      </c>
      <c r="B41" s="2" t="s">
        <v>317</v>
      </c>
      <c r="C41" s="2" t="s">
        <v>270</v>
      </c>
      <c r="D41" s="2" t="s">
        <v>72</v>
      </c>
      <c r="E41" s="2" t="s">
        <v>318</v>
      </c>
      <c r="F41" s="2" t="s">
        <v>24</v>
      </c>
      <c r="G41" s="2" t="s">
        <v>319</v>
      </c>
      <c r="H41" s="4" t="s">
        <v>320</v>
      </c>
      <c r="I41" s="4" t="s">
        <v>321</v>
      </c>
      <c r="J41" s="4" t="s">
        <v>322</v>
      </c>
      <c r="K41" s="2" t="s">
        <v>29</v>
      </c>
      <c r="L41" s="2" t="s">
        <v>44</v>
      </c>
      <c r="M41" s="4" t="s">
        <v>323</v>
      </c>
      <c r="N41" s="2" t="s">
        <v>32</v>
      </c>
      <c r="O41" s="4" t="s">
        <v>324</v>
      </c>
      <c r="P41" s="4" t="s">
        <v>325</v>
      </c>
      <c r="Q41" s="5" t="s">
        <v>35</v>
      </c>
      <c r="R41" s="2" t="s">
        <v>36</v>
      </c>
      <c r="S41" s="2">
        <v>2.1</v>
      </c>
    </row>
    <row r="42" spans="1:19" s="2" customFormat="1" x14ac:dyDescent="0.25">
      <c r="A42" s="2" t="s">
        <v>326</v>
      </c>
      <c r="B42" s="2" t="s">
        <v>317</v>
      </c>
      <c r="C42" s="2" t="s">
        <v>270</v>
      </c>
      <c r="D42" s="2" t="s">
        <v>72</v>
      </c>
      <c r="E42" s="2" t="s">
        <v>318</v>
      </c>
      <c r="F42" s="2" t="s">
        <v>24</v>
      </c>
      <c r="G42" s="2" t="s">
        <v>327</v>
      </c>
      <c r="H42" s="4" t="s">
        <v>328</v>
      </c>
      <c r="I42" s="4" t="s">
        <v>321</v>
      </c>
      <c r="J42" s="4" t="s">
        <v>322</v>
      </c>
      <c r="K42" s="2" t="s">
        <v>316</v>
      </c>
      <c r="L42" s="2" t="s">
        <v>44</v>
      </c>
      <c r="M42" s="4" t="s">
        <v>323</v>
      </c>
      <c r="N42" s="2" t="s">
        <v>32</v>
      </c>
      <c r="O42" s="4" t="s">
        <v>329</v>
      </c>
      <c r="P42" s="4" t="s">
        <v>325</v>
      </c>
      <c r="Q42" s="5" t="s">
        <v>35</v>
      </c>
      <c r="R42" s="2" t="s">
        <v>36</v>
      </c>
      <c r="S42" s="2">
        <v>1.6</v>
      </c>
    </row>
    <row r="43" spans="1:19" s="2" customFormat="1" x14ac:dyDescent="0.25">
      <c r="A43" s="2" t="s">
        <v>330</v>
      </c>
      <c r="B43" s="2" t="s">
        <v>317</v>
      </c>
      <c r="C43" s="2" t="s">
        <v>270</v>
      </c>
      <c r="D43" s="2" t="s">
        <v>72</v>
      </c>
      <c r="E43" s="2" t="s">
        <v>53</v>
      </c>
      <c r="F43" s="2" t="s">
        <v>24</v>
      </c>
      <c r="G43" s="2" t="s">
        <v>331</v>
      </c>
      <c r="H43" s="4" t="s">
        <v>332</v>
      </c>
      <c r="I43" s="4" t="s">
        <v>321</v>
      </c>
      <c r="J43" s="4" t="s">
        <v>56</v>
      </c>
      <c r="K43" s="2" t="s">
        <v>333</v>
      </c>
      <c r="L43" s="2" t="s">
        <v>30</v>
      </c>
      <c r="M43" s="4" t="s">
        <v>58</v>
      </c>
      <c r="N43" s="2" t="s">
        <v>32</v>
      </c>
      <c r="O43" s="4" t="s">
        <v>334</v>
      </c>
      <c r="P43" s="4" t="s">
        <v>325</v>
      </c>
      <c r="Q43" s="2" t="s">
        <v>60</v>
      </c>
      <c r="R43" s="2" t="s">
        <v>36</v>
      </c>
      <c r="S43" s="2">
        <v>0.35</v>
      </c>
    </row>
    <row r="44" spans="1:19" s="2" customFormat="1" x14ac:dyDescent="0.25">
      <c r="A44" s="2" t="s">
        <v>335</v>
      </c>
      <c r="B44" s="2" t="s">
        <v>336</v>
      </c>
      <c r="C44" s="2" t="s">
        <v>270</v>
      </c>
      <c r="D44" s="2" t="s">
        <v>72</v>
      </c>
      <c r="E44" s="2" t="s">
        <v>39</v>
      </c>
      <c r="F44" s="2" t="s">
        <v>337</v>
      </c>
      <c r="G44" s="2" t="s">
        <v>338</v>
      </c>
      <c r="H44" s="4" t="s">
        <v>339</v>
      </c>
      <c r="I44" s="4" t="s">
        <v>340</v>
      </c>
      <c r="J44" s="4" t="s">
        <v>341</v>
      </c>
      <c r="K44" s="2" t="s">
        <v>29</v>
      </c>
      <c r="L44" s="2" t="s">
        <v>285</v>
      </c>
      <c r="M44" s="4" t="s">
        <v>342</v>
      </c>
      <c r="N44" s="2" t="s">
        <v>32</v>
      </c>
      <c r="O44" s="4" t="s">
        <v>343</v>
      </c>
      <c r="P44" s="4" t="s">
        <v>344</v>
      </c>
      <c r="Q44" s="5" t="s">
        <v>35</v>
      </c>
      <c r="R44" s="2" t="s">
        <v>36</v>
      </c>
      <c r="S44" s="2">
        <v>2.4</v>
      </c>
    </row>
    <row r="45" spans="1:19" s="2" customFormat="1" x14ac:dyDescent="0.25">
      <c r="A45" s="2" t="s">
        <v>345</v>
      </c>
      <c r="B45" s="2" t="s">
        <v>336</v>
      </c>
      <c r="C45" s="2" t="s">
        <v>270</v>
      </c>
      <c r="D45" s="2" t="s">
        <v>72</v>
      </c>
      <c r="E45" s="2" t="s">
        <v>39</v>
      </c>
      <c r="F45" s="2" t="s">
        <v>337</v>
      </c>
      <c r="G45" s="2" t="s">
        <v>346</v>
      </c>
      <c r="H45" s="4" t="s">
        <v>347</v>
      </c>
      <c r="I45" s="4" t="s">
        <v>340</v>
      </c>
      <c r="J45" s="4" t="s">
        <v>341</v>
      </c>
      <c r="K45" s="2" t="s">
        <v>335</v>
      </c>
      <c r="L45" s="2" t="s">
        <v>285</v>
      </c>
      <c r="M45" s="4" t="s">
        <v>342</v>
      </c>
      <c r="N45" s="2" t="s">
        <v>32</v>
      </c>
      <c r="O45" s="4" t="s">
        <v>348</v>
      </c>
      <c r="P45" s="4" t="s">
        <v>344</v>
      </c>
      <c r="Q45" s="5" t="s">
        <v>35</v>
      </c>
      <c r="R45" s="2" t="s">
        <v>36</v>
      </c>
      <c r="S45" s="2">
        <v>1.2</v>
      </c>
    </row>
    <row r="46" spans="1:19" s="2" customFormat="1" x14ac:dyDescent="0.25">
      <c r="A46" s="2" t="s">
        <v>349</v>
      </c>
      <c r="B46" s="2" t="s">
        <v>336</v>
      </c>
      <c r="C46" s="2" t="s">
        <v>270</v>
      </c>
      <c r="D46" s="2" t="s">
        <v>72</v>
      </c>
      <c r="E46" s="2" t="s">
        <v>53</v>
      </c>
      <c r="F46" s="2" t="s">
        <v>337</v>
      </c>
      <c r="G46" s="2" t="s">
        <v>350</v>
      </c>
      <c r="H46" s="4" t="s">
        <v>351</v>
      </c>
      <c r="I46" s="4" t="s">
        <v>340</v>
      </c>
      <c r="J46" s="4" t="s">
        <v>56</v>
      </c>
      <c r="K46" s="2" t="s">
        <v>352</v>
      </c>
      <c r="L46" s="2" t="s">
        <v>30</v>
      </c>
      <c r="M46" s="4" t="s">
        <v>58</v>
      </c>
      <c r="N46" s="2" t="s">
        <v>32</v>
      </c>
      <c r="O46" s="4" t="s">
        <v>353</v>
      </c>
      <c r="P46" s="4" t="s">
        <v>344</v>
      </c>
      <c r="Q46" s="2" t="s">
        <v>60</v>
      </c>
      <c r="R46" s="2" t="s">
        <v>36</v>
      </c>
      <c r="S46" s="2">
        <v>0.4</v>
      </c>
    </row>
    <row r="47" spans="1:19" s="2" customFormat="1" x14ac:dyDescent="0.25">
      <c r="A47" s="2" t="s">
        <v>354</v>
      </c>
      <c r="B47" s="2" t="s">
        <v>355</v>
      </c>
      <c r="C47" s="2" t="s">
        <v>270</v>
      </c>
      <c r="D47" s="2" t="s">
        <v>72</v>
      </c>
      <c r="E47" s="2" t="s">
        <v>318</v>
      </c>
      <c r="F47" s="2" t="s">
        <v>94</v>
      </c>
      <c r="G47" s="2" t="s">
        <v>356</v>
      </c>
      <c r="H47" s="4" t="s">
        <v>357</v>
      </c>
      <c r="I47" s="4" t="s">
        <v>358</v>
      </c>
      <c r="J47" s="4" t="s">
        <v>359</v>
      </c>
      <c r="K47" s="2" t="s">
        <v>29</v>
      </c>
      <c r="L47" s="2" t="s">
        <v>285</v>
      </c>
      <c r="M47" s="4" t="s">
        <v>360</v>
      </c>
      <c r="N47" s="2" t="s">
        <v>32</v>
      </c>
      <c r="O47" s="4" t="s">
        <v>361</v>
      </c>
      <c r="P47" s="4" t="s">
        <v>362</v>
      </c>
      <c r="Q47" s="6" t="s">
        <v>278</v>
      </c>
      <c r="R47" s="2" t="s">
        <v>36</v>
      </c>
      <c r="S47" s="2">
        <v>2.6</v>
      </c>
    </row>
    <row r="48" spans="1:19" s="2" customFormat="1" x14ac:dyDescent="0.25">
      <c r="A48" s="2" t="s">
        <v>363</v>
      </c>
      <c r="B48" s="2" t="s">
        <v>355</v>
      </c>
      <c r="C48" s="2" t="s">
        <v>270</v>
      </c>
      <c r="D48" s="2" t="s">
        <v>72</v>
      </c>
      <c r="E48" s="2" t="s">
        <v>318</v>
      </c>
      <c r="F48" s="2" t="s">
        <v>94</v>
      </c>
      <c r="G48" s="2" t="s">
        <v>364</v>
      </c>
      <c r="H48" s="4" t="s">
        <v>365</v>
      </c>
      <c r="I48" s="4" t="s">
        <v>358</v>
      </c>
      <c r="J48" s="4" t="s">
        <v>359</v>
      </c>
      <c r="K48" s="2" t="s">
        <v>354</v>
      </c>
      <c r="L48" s="2" t="s">
        <v>285</v>
      </c>
      <c r="M48" s="4" t="s">
        <v>360</v>
      </c>
      <c r="N48" s="2" t="s">
        <v>32</v>
      </c>
      <c r="O48" s="4" t="s">
        <v>366</v>
      </c>
      <c r="P48" s="4" t="s">
        <v>362</v>
      </c>
      <c r="Q48" s="6" t="s">
        <v>278</v>
      </c>
      <c r="R48" s="2" t="s">
        <v>36</v>
      </c>
      <c r="S48" s="2">
        <v>2.3</v>
      </c>
    </row>
    <row r="49" spans="1:19" s="2" customFormat="1" x14ac:dyDescent="0.25">
      <c r="A49" s="2" t="s">
        <v>367</v>
      </c>
      <c r="B49" s="2" t="s">
        <v>355</v>
      </c>
      <c r="C49" s="2" t="s">
        <v>270</v>
      </c>
      <c r="D49" s="2" t="s">
        <v>72</v>
      </c>
      <c r="E49" s="2" t="s">
        <v>53</v>
      </c>
      <c r="F49" s="2" t="s">
        <v>94</v>
      </c>
      <c r="G49" s="2" t="s">
        <v>368</v>
      </c>
      <c r="H49" s="4" t="s">
        <v>369</v>
      </c>
      <c r="I49" s="4" t="s">
        <v>358</v>
      </c>
      <c r="J49" s="4" t="s">
        <v>56</v>
      </c>
      <c r="K49" s="2" t="s">
        <v>370</v>
      </c>
      <c r="L49" s="2" t="s">
        <v>30</v>
      </c>
      <c r="M49" s="4" t="s">
        <v>58</v>
      </c>
      <c r="N49" s="2" t="s">
        <v>32</v>
      </c>
      <c r="O49" s="4" t="s">
        <v>371</v>
      </c>
      <c r="P49" s="4" t="s">
        <v>362</v>
      </c>
      <c r="Q49" s="2" t="s">
        <v>60</v>
      </c>
      <c r="R49" s="2" t="s">
        <v>36</v>
      </c>
      <c r="S49" s="2">
        <v>0.4</v>
      </c>
    </row>
    <row r="50" spans="1:19" s="2" customFormat="1" x14ac:dyDescent="0.25">
      <c r="A50" s="2" t="s">
        <v>372</v>
      </c>
      <c r="B50" s="2" t="s">
        <v>373</v>
      </c>
      <c r="C50" s="2" t="s">
        <v>270</v>
      </c>
      <c r="D50" s="2" t="s">
        <v>72</v>
      </c>
      <c r="E50" s="2" t="s">
        <v>374</v>
      </c>
      <c r="F50" s="2" t="s">
        <v>94</v>
      </c>
      <c r="G50" s="2" t="s">
        <v>375</v>
      </c>
      <c r="H50" s="4" t="s">
        <v>376</v>
      </c>
      <c r="I50" s="4" t="s">
        <v>377</v>
      </c>
      <c r="J50" s="4" t="s">
        <v>378</v>
      </c>
      <c r="K50" s="2" t="s">
        <v>29</v>
      </c>
      <c r="L50" s="2" t="s">
        <v>285</v>
      </c>
      <c r="M50" s="4" t="s">
        <v>379</v>
      </c>
      <c r="N50" s="2" t="s">
        <v>32</v>
      </c>
      <c r="O50" s="4" t="s">
        <v>380</v>
      </c>
      <c r="P50" s="4" t="s">
        <v>381</v>
      </c>
      <c r="Q50" s="6" t="s">
        <v>278</v>
      </c>
      <c r="R50" s="2" t="s">
        <v>36</v>
      </c>
      <c r="S50" s="2">
        <v>1.8</v>
      </c>
    </row>
    <row r="51" spans="1:19" s="2" customFormat="1" x14ac:dyDescent="0.25">
      <c r="A51" s="2" t="s">
        <v>382</v>
      </c>
      <c r="B51" s="2" t="s">
        <v>373</v>
      </c>
      <c r="C51" s="2" t="s">
        <v>270</v>
      </c>
      <c r="D51" s="2" t="s">
        <v>72</v>
      </c>
      <c r="E51" s="2" t="s">
        <v>374</v>
      </c>
      <c r="F51" s="2" t="s">
        <v>94</v>
      </c>
      <c r="G51" s="2" t="s">
        <v>383</v>
      </c>
      <c r="H51" s="4" t="s">
        <v>384</v>
      </c>
      <c r="I51" s="4" t="s">
        <v>377</v>
      </c>
      <c r="J51" s="4" t="s">
        <v>378</v>
      </c>
      <c r="K51" s="2" t="s">
        <v>372</v>
      </c>
      <c r="L51" s="2" t="s">
        <v>285</v>
      </c>
      <c r="M51" s="4" t="s">
        <v>379</v>
      </c>
      <c r="N51" s="2" t="s">
        <v>32</v>
      </c>
      <c r="O51" s="4" t="s">
        <v>385</v>
      </c>
      <c r="P51" s="4" t="s">
        <v>381</v>
      </c>
      <c r="Q51" s="6" t="s">
        <v>278</v>
      </c>
      <c r="R51" s="2" t="s">
        <v>36</v>
      </c>
      <c r="S51" s="2">
        <v>2</v>
      </c>
    </row>
    <row r="52" spans="1:19" s="2" customFormat="1" x14ac:dyDescent="0.25">
      <c r="A52" s="2" t="s">
        <v>386</v>
      </c>
      <c r="B52" s="2" t="s">
        <v>373</v>
      </c>
      <c r="C52" s="2" t="s">
        <v>270</v>
      </c>
      <c r="D52" s="2" t="s">
        <v>72</v>
      </c>
      <c r="E52" s="2" t="s">
        <v>53</v>
      </c>
      <c r="F52" s="2" t="s">
        <v>94</v>
      </c>
      <c r="G52" s="2" t="s">
        <v>387</v>
      </c>
      <c r="H52" s="4" t="s">
        <v>388</v>
      </c>
      <c r="I52" s="4" t="s">
        <v>377</v>
      </c>
      <c r="J52" s="4" t="s">
        <v>56</v>
      </c>
      <c r="K52" s="2" t="s">
        <v>389</v>
      </c>
      <c r="L52" s="2" t="s">
        <v>30</v>
      </c>
      <c r="M52" s="4" t="s">
        <v>58</v>
      </c>
      <c r="N52" s="2" t="s">
        <v>32</v>
      </c>
      <c r="O52" s="4" t="s">
        <v>390</v>
      </c>
      <c r="P52" s="4" t="s">
        <v>381</v>
      </c>
      <c r="Q52" s="2" t="s">
        <v>60</v>
      </c>
      <c r="R52" s="2" t="s">
        <v>36</v>
      </c>
      <c r="S52" s="2">
        <v>0.35</v>
      </c>
    </row>
    <row r="53" spans="1:19" s="2" customFormat="1" x14ac:dyDescent="0.25">
      <c r="A53" s="2" t="s">
        <v>391</v>
      </c>
      <c r="B53" s="2" t="s">
        <v>392</v>
      </c>
      <c r="C53" s="2" t="s">
        <v>270</v>
      </c>
      <c r="D53" s="2" t="s">
        <v>122</v>
      </c>
      <c r="E53" s="2" t="s">
        <v>23</v>
      </c>
      <c r="F53" s="2" t="s">
        <v>159</v>
      </c>
      <c r="G53" s="2" t="s">
        <v>393</v>
      </c>
      <c r="H53" s="4" t="s">
        <v>394</v>
      </c>
      <c r="I53" s="4" t="s">
        <v>395</v>
      </c>
      <c r="J53" s="4" t="s">
        <v>396</v>
      </c>
      <c r="K53" s="2" t="s">
        <v>29</v>
      </c>
      <c r="L53" s="2" t="s">
        <v>30</v>
      </c>
      <c r="M53" s="4" t="s">
        <v>397</v>
      </c>
      <c r="N53" s="2" t="s">
        <v>32</v>
      </c>
      <c r="O53" s="4" t="s">
        <v>398</v>
      </c>
      <c r="P53" s="4" t="s">
        <v>399</v>
      </c>
      <c r="Q53" s="2" t="s">
        <v>60</v>
      </c>
      <c r="R53" s="2" t="s">
        <v>36</v>
      </c>
      <c r="S53" s="2">
        <v>0.9</v>
      </c>
    </row>
    <row r="54" spans="1:19" s="2" customFormat="1" x14ac:dyDescent="0.25">
      <c r="A54" s="2" t="s">
        <v>400</v>
      </c>
      <c r="B54" s="2" t="s">
        <v>401</v>
      </c>
      <c r="C54" s="2" t="s">
        <v>270</v>
      </c>
      <c r="D54" s="2" t="s">
        <v>122</v>
      </c>
      <c r="E54" s="2" t="s">
        <v>318</v>
      </c>
      <c r="F54" s="2" t="s">
        <v>94</v>
      </c>
      <c r="G54" s="2" t="s">
        <v>402</v>
      </c>
      <c r="H54" s="4" t="s">
        <v>403</v>
      </c>
      <c r="I54" s="4" t="s">
        <v>404</v>
      </c>
      <c r="J54" s="4" t="s">
        <v>405</v>
      </c>
      <c r="K54" s="2" t="s">
        <v>29</v>
      </c>
      <c r="L54" s="2" t="s">
        <v>44</v>
      </c>
      <c r="M54" s="4" t="s">
        <v>406</v>
      </c>
      <c r="N54" s="2" t="s">
        <v>32</v>
      </c>
      <c r="O54" s="4" t="s">
        <v>407</v>
      </c>
      <c r="P54" s="4" t="s">
        <v>408</v>
      </c>
      <c r="Q54" s="2" t="s">
        <v>60</v>
      </c>
      <c r="R54" s="2" t="s">
        <v>36</v>
      </c>
      <c r="S54" s="2">
        <v>0.8</v>
      </c>
    </row>
    <row r="55" spans="1:19" s="2" customFormat="1" x14ac:dyDescent="0.25">
      <c r="A55" s="2" t="s">
        <v>409</v>
      </c>
      <c r="B55" s="2" t="s">
        <v>410</v>
      </c>
      <c r="C55" s="2" t="s">
        <v>270</v>
      </c>
      <c r="D55" s="2" t="s">
        <v>122</v>
      </c>
      <c r="E55" s="2" t="s">
        <v>318</v>
      </c>
      <c r="F55" s="2" t="s">
        <v>94</v>
      </c>
      <c r="G55" s="2" t="s">
        <v>411</v>
      </c>
      <c r="H55" s="4" t="s">
        <v>412</v>
      </c>
      <c r="I55" s="4" t="s">
        <v>413</v>
      </c>
      <c r="J55" s="4" t="s">
        <v>414</v>
      </c>
      <c r="K55" s="2" t="s">
        <v>29</v>
      </c>
      <c r="L55" s="2" t="s">
        <v>44</v>
      </c>
      <c r="M55" s="4" t="s">
        <v>415</v>
      </c>
      <c r="N55" s="2" t="s">
        <v>32</v>
      </c>
      <c r="O55" s="4" t="s">
        <v>416</v>
      </c>
      <c r="P55" s="4" t="s">
        <v>417</v>
      </c>
      <c r="Q55" s="2" t="s">
        <v>60</v>
      </c>
      <c r="R55" s="2" t="s">
        <v>36</v>
      </c>
      <c r="S55" s="2">
        <v>1</v>
      </c>
    </row>
    <row r="56" spans="1:19" s="2" customFormat="1" x14ac:dyDescent="0.25">
      <c r="A56" s="2" t="s">
        <v>418</v>
      </c>
      <c r="B56" s="2" t="s">
        <v>419</v>
      </c>
      <c r="C56" s="2" t="s">
        <v>270</v>
      </c>
      <c r="D56" s="2" t="s">
        <v>122</v>
      </c>
      <c r="E56" s="2" t="s">
        <v>318</v>
      </c>
      <c r="F56" s="2" t="s">
        <v>94</v>
      </c>
      <c r="G56" s="2" t="s">
        <v>420</v>
      </c>
      <c r="H56" s="4" t="s">
        <v>421</v>
      </c>
      <c r="I56" s="4" t="s">
        <v>422</v>
      </c>
      <c r="J56" s="4" t="s">
        <v>423</v>
      </c>
      <c r="K56" s="2" t="s">
        <v>29</v>
      </c>
      <c r="L56" s="2" t="s">
        <v>44</v>
      </c>
      <c r="M56" s="4" t="s">
        <v>424</v>
      </c>
      <c r="N56" s="2" t="s">
        <v>32</v>
      </c>
      <c r="O56" s="4" t="s">
        <v>425</v>
      </c>
      <c r="P56" s="4" t="s">
        <v>426</v>
      </c>
      <c r="Q56" s="2" t="s">
        <v>60</v>
      </c>
      <c r="R56" s="2" t="s">
        <v>36</v>
      </c>
      <c r="S56" s="2">
        <v>1.9</v>
      </c>
    </row>
    <row r="57" spans="1:19" s="2" customFormat="1" x14ac:dyDescent="0.25">
      <c r="A57" s="2" t="s">
        <v>427</v>
      </c>
      <c r="B57" s="2" t="s">
        <v>428</v>
      </c>
      <c r="C57" s="2" t="s">
        <v>270</v>
      </c>
      <c r="D57" s="2" t="s">
        <v>122</v>
      </c>
      <c r="E57" s="2" t="s">
        <v>318</v>
      </c>
      <c r="F57" s="2" t="s">
        <v>94</v>
      </c>
      <c r="G57" s="2" t="s">
        <v>429</v>
      </c>
      <c r="H57" s="4" t="s">
        <v>430</v>
      </c>
      <c r="I57" s="4" t="s">
        <v>431</v>
      </c>
      <c r="J57" s="4" t="s">
        <v>432</v>
      </c>
      <c r="K57" s="2" t="s">
        <v>29</v>
      </c>
      <c r="L57" s="2" t="s">
        <v>30</v>
      </c>
      <c r="M57" s="4" t="s">
        <v>433</v>
      </c>
      <c r="N57" s="2" t="s">
        <v>32</v>
      </c>
      <c r="O57" s="4" t="s">
        <v>434</v>
      </c>
      <c r="P57" s="4" t="s">
        <v>435</v>
      </c>
      <c r="Q57" s="2" t="s">
        <v>60</v>
      </c>
      <c r="R57" s="2" t="s">
        <v>36</v>
      </c>
      <c r="S57" s="2">
        <v>1.2</v>
      </c>
    </row>
    <row r="58" spans="1:19" s="2" customFormat="1" x14ac:dyDescent="0.25">
      <c r="A58" s="2" t="s">
        <v>436</v>
      </c>
      <c r="B58" s="2" t="s">
        <v>437</v>
      </c>
      <c r="C58" s="2" t="s">
        <v>270</v>
      </c>
      <c r="D58" s="2" t="s">
        <v>122</v>
      </c>
      <c r="E58" s="2" t="s">
        <v>318</v>
      </c>
      <c r="F58" s="2" t="s">
        <v>94</v>
      </c>
      <c r="G58" s="2" t="s">
        <v>438</v>
      </c>
      <c r="H58" s="4" t="s">
        <v>439</v>
      </c>
      <c r="I58" s="4" t="s">
        <v>440</v>
      </c>
      <c r="J58" s="4" t="s">
        <v>441</v>
      </c>
      <c r="K58" s="2" t="s">
        <v>29</v>
      </c>
      <c r="L58" s="2" t="s">
        <v>44</v>
      </c>
      <c r="M58" s="4" t="s">
        <v>442</v>
      </c>
      <c r="N58" s="2" t="s">
        <v>32</v>
      </c>
      <c r="O58" s="4" t="s">
        <v>443</v>
      </c>
      <c r="P58" s="4" t="s">
        <v>444</v>
      </c>
      <c r="Q58" s="6" t="s">
        <v>278</v>
      </c>
      <c r="R58" s="2" t="s">
        <v>36</v>
      </c>
      <c r="S58" s="2">
        <v>1.5</v>
      </c>
    </row>
    <row r="59" spans="1:19" s="2" customFormat="1" x14ac:dyDescent="0.25">
      <c r="A59" s="2" t="s">
        <v>445</v>
      </c>
      <c r="B59" s="2" t="s">
        <v>446</v>
      </c>
      <c r="C59" s="2" t="s">
        <v>270</v>
      </c>
      <c r="D59" s="2" t="s">
        <v>122</v>
      </c>
      <c r="E59" s="2" t="s">
        <v>374</v>
      </c>
      <c r="F59" s="2" t="s">
        <v>94</v>
      </c>
      <c r="G59" s="2" t="s">
        <v>447</v>
      </c>
      <c r="H59" s="4" t="s">
        <v>448</v>
      </c>
      <c r="I59" s="4" t="s">
        <v>449</v>
      </c>
      <c r="J59" s="4" t="s">
        <v>450</v>
      </c>
      <c r="K59" s="2" t="s">
        <v>29</v>
      </c>
      <c r="L59" s="2" t="s">
        <v>44</v>
      </c>
      <c r="M59" s="4" t="s">
        <v>451</v>
      </c>
      <c r="N59" s="2" t="s">
        <v>32</v>
      </c>
      <c r="O59" s="4" t="s">
        <v>452</v>
      </c>
      <c r="P59" s="4" t="s">
        <v>453</v>
      </c>
      <c r="Q59" s="2" t="s">
        <v>60</v>
      </c>
      <c r="R59" s="2" t="s">
        <v>36</v>
      </c>
      <c r="S59" s="2">
        <v>1.7</v>
      </c>
    </row>
    <row r="60" spans="1:19" s="2" customFormat="1" x14ac:dyDescent="0.25">
      <c r="A60" s="2" t="s">
        <v>454</v>
      </c>
      <c r="B60" s="2" t="s">
        <v>455</v>
      </c>
      <c r="C60" s="2" t="s">
        <v>270</v>
      </c>
      <c r="D60" s="2" t="s">
        <v>122</v>
      </c>
      <c r="E60" s="2" t="s">
        <v>374</v>
      </c>
      <c r="F60" s="2" t="s">
        <v>94</v>
      </c>
      <c r="G60" s="2" t="s">
        <v>456</v>
      </c>
      <c r="H60" s="4" t="s">
        <v>457</v>
      </c>
      <c r="I60" s="4" t="s">
        <v>458</v>
      </c>
      <c r="J60" s="4" t="s">
        <v>459</v>
      </c>
      <c r="K60" s="2" t="s">
        <v>29</v>
      </c>
      <c r="L60" s="2" t="s">
        <v>44</v>
      </c>
      <c r="M60" s="4" t="s">
        <v>460</v>
      </c>
      <c r="N60" s="2" t="s">
        <v>32</v>
      </c>
      <c r="O60" s="4" t="s">
        <v>461</v>
      </c>
      <c r="P60" s="4" t="s">
        <v>462</v>
      </c>
      <c r="Q60" s="2" t="s">
        <v>60</v>
      </c>
      <c r="R60" s="2" t="s">
        <v>36</v>
      </c>
      <c r="S60" s="2">
        <v>2.1</v>
      </c>
    </row>
    <row r="61" spans="1:19" s="2" customFormat="1" x14ac:dyDescent="0.25">
      <c r="A61" s="2" t="s">
        <v>463</v>
      </c>
      <c r="B61" s="2" t="s">
        <v>464</v>
      </c>
      <c r="C61" s="2" t="s">
        <v>270</v>
      </c>
      <c r="D61" s="2" t="s">
        <v>122</v>
      </c>
      <c r="E61" s="2" t="s">
        <v>374</v>
      </c>
      <c r="F61" s="2" t="s">
        <v>94</v>
      </c>
      <c r="G61" s="2" t="s">
        <v>465</v>
      </c>
      <c r="H61" s="4" t="s">
        <v>466</v>
      </c>
      <c r="I61" s="4" t="s">
        <v>467</v>
      </c>
      <c r="J61" s="4" t="s">
        <v>468</v>
      </c>
      <c r="K61" s="2" t="s">
        <v>29</v>
      </c>
      <c r="L61" s="2" t="s">
        <v>44</v>
      </c>
      <c r="M61" s="4" t="s">
        <v>469</v>
      </c>
      <c r="N61" s="2" t="s">
        <v>32</v>
      </c>
      <c r="O61" s="4" t="s">
        <v>470</v>
      </c>
      <c r="P61" s="4" t="s">
        <v>471</v>
      </c>
      <c r="Q61" s="2" t="s">
        <v>60</v>
      </c>
      <c r="R61" s="2" t="s">
        <v>36</v>
      </c>
      <c r="S61" s="2">
        <v>1.6</v>
      </c>
    </row>
    <row r="62" spans="1:19" s="2" customFormat="1" x14ac:dyDescent="0.25">
      <c r="A62" s="2" t="s">
        <v>472</v>
      </c>
      <c r="B62" s="2" t="s">
        <v>473</v>
      </c>
      <c r="C62" s="2" t="s">
        <v>270</v>
      </c>
      <c r="D62" s="2" t="s">
        <v>122</v>
      </c>
      <c r="E62" s="2" t="s">
        <v>374</v>
      </c>
      <c r="F62" s="2" t="s">
        <v>94</v>
      </c>
      <c r="G62" s="2" t="s">
        <v>474</v>
      </c>
      <c r="H62" s="4" t="s">
        <v>475</v>
      </c>
      <c r="I62" s="4" t="s">
        <v>476</v>
      </c>
      <c r="J62" s="4" t="s">
        <v>477</v>
      </c>
      <c r="K62" s="2" t="s">
        <v>29</v>
      </c>
      <c r="L62" s="2" t="s">
        <v>44</v>
      </c>
      <c r="M62" s="4" t="s">
        <v>478</v>
      </c>
      <c r="N62" s="2" t="s">
        <v>32</v>
      </c>
      <c r="O62" s="4" t="s">
        <v>479</v>
      </c>
      <c r="P62" s="4" t="s">
        <v>480</v>
      </c>
      <c r="Q62" s="6" t="s">
        <v>278</v>
      </c>
      <c r="R62" s="2" t="s">
        <v>36</v>
      </c>
      <c r="S62" s="2">
        <v>1.8</v>
      </c>
    </row>
    <row r="63" spans="1:19" s="2" customFormat="1" x14ac:dyDescent="0.25">
      <c r="A63" s="2" t="s">
        <v>481</v>
      </c>
      <c r="B63" s="2" t="s">
        <v>482</v>
      </c>
      <c r="C63" s="2" t="s">
        <v>270</v>
      </c>
      <c r="D63" s="2" t="s">
        <v>122</v>
      </c>
      <c r="E63" s="2" t="s">
        <v>374</v>
      </c>
      <c r="F63" s="2" t="s">
        <v>94</v>
      </c>
      <c r="G63" s="2" t="s">
        <v>483</v>
      </c>
      <c r="H63" s="4" t="s">
        <v>484</v>
      </c>
      <c r="I63" s="4" t="s">
        <v>485</v>
      </c>
      <c r="J63" s="4" t="s">
        <v>486</v>
      </c>
      <c r="K63" s="2" t="s">
        <v>29</v>
      </c>
      <c r="L63" s="2" t="s">
        <v>44</v>
      </c>
      <c r="M63" s="4" t="s">
        <v>487</v>
      </c>
      <c r="N63" s="2" t="s">
        <v>32</v>
      </c>
      <c r="O63" s="4" t="s">
        <v>488</v>
      </c>
      <c r="P63" s="4" t="s">
        <v>489</v>
      </c>
      <c r="Q63" s="2" t="s">
        <v>60</v>
      </c>
      <c r="R63" s="2" t="s">
        <v>36</v>
      </c>
      <c r="S63" s="2">
        <v>1.1</v>
      </c>
    </row>
    <row r="64" spans="1:19" s="2" customFormat="1" x14ac:dyDescent="0.25">
      <c r="A64" s="2" t="s">
        <v>490</v>
      </c>
      <c r="B64" s="2" t="s">
        <v>491</v>
      </c>
      <c r="C64" s="2" t="s">
        <v>270</v>
      </c>
      <c r="D64" s="2" t="s">
        <v>122</v>
      </c>
      <c r="E64" s="2" t="s">
        <v>374</v>
      </c>
      <c r="F64" s="2" t="s">
        <v>94</v>
      </c>
      <c r="G64" s="2" t="s">
        <v>492</v>
      </c>
      <c r="H64" s="4" t="s">
        <v>493</v>
      </c>
      <c r="I64" s="4" t="s">
        <v>494</v>
      </c>
      <c r="J64" s="4" t="s">
        <v>495</v>
      </c>
      <c r="K64" s="2" t="s">
        <v>29</v>
      </c>
      <c r="L64" s="2" t="s">
        <v>44</v>
      </c>
      <c r="M64" s="4" t="s">
        <v>496</v>
      </c>
      <c r="N64" s="2" t="s">
        <v>32</v>
      </c>
      <c r="O64" s="4" t="s">
        <v>497</v>
      </c>
      <c r="P64" s="4" t="s">
        <v>498</v>
      </c>
      <c r="Q64" s="2" t="s">
        <v>60</v>
      </c>
      <c r="R64" s="2" t="s">
        <v>36</v>
      </c>
      <c r="S64" s="2">
        <v>1.4</v>
      </c>
    </row>
    <row r="65" spans="1:19" s="2" customFormat="1" x14ac:dyDescent="0.25">
      <c r="A65" s="2" t="s">
        <v>499</v>
      </c>
      <c r="B65" s="2" t="s">
        <v>500</v>
      </c>
      <c r="C65" s="2" t="s">
        <v>270</v>
      </c>
      <c r="D65" s="2" t="s">
        <v>122</v>
      </c>
      <c r="E65" s="2" t="s">
        <v>224</v>
      </c>
      <c r="F65" s="2" t="s">
        <v>94</v>
      </c>
      <c r="G65" s="2" t="s">
        <v>501</v>
      </c>
      <c r="H65" s="4" t="s">
        <v>502</v>
      </c>
      <c r="I65" s="4" t="s">
        <v>503</v>
      </c>
      <c r="J65" s="4" t="s">
        <v>504</v>
      </c>
      <c r="K65" s="2" t="s">
        <v>29</v>
      </c>
      <c r="L65" s="2" t="s">
        <v>44</v>
      </c>
      <c r="M65" s="4" t="s">
        <v>505</v>
      </c>
      <c r="N65" s="2" t="s">
        <v>32</v>
      </c>
      <c r="O65" s="4" t="s">
        <v>506</v>
      </c>
      <c r="P65" s="4" t="s">
        <v>101</v>
      </c>
      <c r="Q65" s="6" t="s">
        <v>278</v>
      </c>
      <c r="R65" s="2" t="s">
        <v>36</v>
      </c>
      <c r="S65" s="2">
        <v>1.6</v>
      </c>
    </row>
    <row r="66" spans="1:19" s="2" customFormat="1" x14ac:dyDescent="0.25">
      <c r="A66" s="2" t="s">
        <v>507</v>
      </c>
      <c r="B66" s="2" t="s">
        <v>500</v>
      </c>
      <c r="C66" s="2" t="s">
        <v>270</v>
      </c>
      <c r="D66" s="2" t="s">
        <v>122</v>
      </c>
      <c r="E66" s="2" t="s">
        <v>224</v>
      </c>
      <c r="F66" s="2" t="s">
        <v>94</v>
      </c>
      <c r="G66" s="2" t="s">
        <v>508</v>
      </c>
      <c r="H66" s="4" t="s">
        <v>509</v>
      </c>
      <c r="I66" s="4" t="s">
        <v>503</v>
      </c>
      <c r="J66" s="4" t="s">
        <v>504</v>
      </c>
      <c r="K66" s="2" t="s">
        <v>499</v>
      </c>
      <c r="L66" s="2" t="s">
        <v>44</v>
      </c>
      <c r="M66" s="4" t="s">
        <v>505</v>
      </c>
      <c r="N66" s="2" t="s">
        <v>32</v>
      </c>
      <c r="O66" s="4" t="s">
        <v>510</v>
      </c>
      <c r="P66" s="4" t="s">
        <v>101</v>
      </c>
      <c r="Q66" s="6" t="s">
        <v>278</v>
      </c>
      <c r="R66" s="2" t="s">
        <v>36</v>
      </c>
      <c r="S66" s="2">
        <v>2.8</v>
      </c>
    </row>
    <row r="67" spans="1:19" s="2" customFormat="1" x14ac:dyDescent="0.25">
      <c r="A67" s="2" t="s">
        <v>511</v>
      </c>
      <c r="B67" s="2" t="s">
        <v>500</v>
      </c>
      <c r="C67" s="2" t="s">
        <v>270</v>
      </c>
      <c r="D67" s="2" t="s">
        <v>122</v>
      </c>
      <c r="E67" s="2" t="s">
        <v>53</v>
      </c>
      <c r="F67" s="2" t="s">
        <v>94</v>
      </c>
      <c r="G67" s="2" t="s">
        <v>512</v>
      </c>
      <c r="H67" s="4" t="s">
        <v>513</v>
      </c>
      <c r="I67" s="4" t="s">
        <v>503</v>
      </c>
      <c r="J67" s="4" t="s">
        <v>56</v>
      </c>
      <c r="K67" s="2" t="s">
        <v>514</v>
      </c>
      <c r="L67" s="2" t="s">
        <v>30</v>
      </c>
      <c r="M67" s="4" t="s">
        <v>58</v>
      </c>
      <c r="N67" s="2" t="s">
        <v>32</v>
      </c>
      <c r="O67" s="4" t="s">
        <v>515</v>
      </c>
      <c r="P67" s="4" t="s">
        <v>101</v>
      </c>
      <c r="Q67" s="2" t="s">
        <v>60</v>
      </c>
      <c r="R67" s="2" t="s">
        <v>36</v>
      </c>
      <c r="S67" s="2">
        <v>0.35</v>
      </c>
    </row>
    <row r="68" spans="1:19" s="2" customFormat="1" x14ac:dyDescent="0.25">
      <c r="A68" s="2" t="s">
        <v>516</v>
      </c>
      <c r="B68" s="2" t="s">
        <v>517</v>
      </c>
      <c r="C68" s="2" t="s">
        <v>270</v>
      </c>
      <c r="D68" s="2" t="s">
        <v>122</v>
      </c>
      <c r="E68" s="2" t="s">
        <v>224</v>
      </c>
      <c r="F68" s="2" t="s">
        <v>94</v>
      </c>
      <c r="G68" s="2" t="s">
        <v>518</v>
      </c>
      <c r="H68" s="4" t="s">
        <v>519</v>
      </c>
      <c r="I68" s="4" t="s">
        <v>520</v>
      </c>
      <c r="J68" s="4" t="s">
        <v>521</v>
      </c>
      <c r="K68" s="2" t="s">
        <v>29</v>
      </c>
      <c r="L68" s="2" t="s">
        <v>44</v>
      </c>
      <c r="M68" s="4" t="s">
        <v>522</v>
      </c>
      <c r="N68" s="2" t="s">
        <v>32</v>
      </c>
      <c r="O68" s="4" t="s">
        <v>523</v>
      </c>
      <c r="P68" s="4" t="s">
        <v>524</v>
      </c>
      <c r="Q68" s="6" t="s">
        <v>278</v>
      </c>
      <c r="R68" s="2" t="s">
        <v>36</v>
      </c>
      <c r="S68" s="2">
        <v>1.3</v>
      </c>
    </row>
    <row r="69" spans="1:19" s="2" customFormat="1" x14ac:dyDescent="0.25">
      <c r="A69" s="2" t="s">
        <v>525</v>
      </c>
      <c r="B69" s="2" t="s">
        <v>517</v>
      </c>
      <c r="C69" s="2" t="s">
        <v>270</v>
      </c>
      <c r="D69" s="2" t="s">
        <v>122</v>
      </c>
      <c r="E69" s="2" t="s">
        <v>224</v>
      </c>
      <c r="F69" s="2" t="s">
        <v>94</v>
      </c>
      <c r="G69" s="2" t="s">
        <v>526</v>
      </c>
      <c r="H69" s="4" t="s">
        <v>527</v>
      </c>
      <c r="I69" s="4" t="s">
        <v>520</v>
      </c>
      <c r="J69" s="4" t="s">
        <v>521</v>
      </c>
      <c r="K69" s="2" t="s">
        <v>516</v>
      </c>
      <c r="L69" s="2" t="s">
        <v>44</v>
      </c>
      <c r="M69" s="4" t="s">
        <v>522</v>
      </c>
      <c r="N69" s="2" t="s">
        <v>32</v>
      </c>
      <c r="O69" s="4" t="s">
        <v>528</v>
      </c>
      <c r="P69" s="4" t="s">
        <v>524</v>
      </c>
      <c r="Q69" s="6" t="s">
        <v>278</v>
      </c>
      <c r="R69" s="2" t="s">
        <v>36</v>
      </c>
      <c r="S69" s="2">
        <v>2.3</v>
      </c>
    </row>
    <row r="70" spans="1:19" s="2" customFormat="1" x14ac:dyDescent="0.25">
      <c r="A70" s="2" t="s">
        <v>529</v>
      </c>
      <c r="B70" s="2" t="s">
        <v>517</v>
      </c>
      <c r="C70" s="2" t="s">
        <v>270</v>
      </c>
      <c r="D70" s="2" t="s">
        <v>122</v>
      </c>
      <c r="E70" s="2" t="s">
        <v>53</v>
      </c>
      <c r="F70" s="2" t="s">
        <v>94</v>
      </c>
      <c r="G70" s="2" t="s">
        <v>530</v>
      </c>
      <c r="H70" s="4" t="s">
        <v>531</v>
      </c>
      <c r="I70" s="4" t="s">
        <v>520</v>
      </c>
      <c r="J70" s="4" t="s">
        <v>56</v>
      </c>
      <c r="K70" s="2" t="s">
        <v>532</v>
      </c>
      <c r="L70" s="2" t="s">
        <v>30</v>
      </c>
      <c r="M70" s="4" t="s">
        <v>58</v>
      </c>
      <c r="N70" s="2" t="s">
        <v>32</v>
      </c>
      <c r="O70" s="4" t="s">
        <v>533</v>
      </c>
      <c r="P70" s="4" t="s">
        <v>524</v>
      </c>
      <c r="Q70" s="2" t="s">
        <v>60</v>
      </c>
      <c r="R70" s="2" t="s">
        <v>36</v>
      </c>
      <c r="S70" s="2">
        <v>0.8</v>
      </c>
    </row>
    <row r="71" spans="1:19" s="2" customFormat="1" x14ac:dyDescent="0.25">
      <c r="A71" s="2" t="s">
        <v>534</v>
      </c>
      <c r="B71" s="2" t="s">
        <v>535</v>
      </c>
      <c r="C71" s="2" t="s">
        <v>536</v>
      </c>
      <c r="D71" s="2" t="s">
        <v>72</v>
      </c>
      <c r="E71" s="2" t="s">
        <v>374</v>
      </c>
      <c r="F71" s="2" t="s">
        <v>337</v>
      </c>
      <c r="G71" s="2" t="s">
        <v>537</v>
      </c>
      <c r="H71" s="4" t="s">
        <v>538</v>
      </c>
      <c r="I71" s="4" t="s">
        <v>539</v>
      </c>
      <c r="J71" s="4" t="s">
        <v>540</v>
      </c>
      <c r="K71" s="2" t="s">
        <v>29</v>
      </c>
      <c r="L71" s="2" t="s">
        <v>285</v>
      </c>
      <c r="M71" s="4" t="s">
        <v>541</v>
      </c>
      <c r="N71" s="2" t="s">
        <v>32</v>
      </c>
      <c r="O71" s="4" t="s">
        <v>542</v>
      </c>
      <c r="P71" s="4" t="s">
        <v>543</v>
      </c>
      <c r="Q71" s="5" t="s">
        <v>35</v>
      </c>
      <c r="R71" s="2" t="s">
        <v>36</v>
      </c>
      <c r="S71" s="2">
        <v>2.4</v>
      </c>
    </row>
    <row r="72" spans="1:19" s="2" customFormat="1" x14ac:dyDescent="0.25">
      <c r="A72" s="2" t="s">
        <v>544</v>
      </c>
      <c r="B72" s="2" t="s">
        <v>535</v>
      </c>
      <c r="C72" s="2" t="s">
        <v>536</v>
      </c>
      <c r="D72" s="2" t="s">
        <v>72</v>
      </c>
      <c r="E72" s="2" t="s">
        <v>374</v>
      </c>
      <c r="F72" s="2" t="s">
        <v>337</v>
      </c>
      <c r="G72" s="2" t="s">
        <v>545</v>
      </c>
      <c r="H72" s="4" t="s">
        <v>546</v>
      </c>
      <c r="I72" s="4" t="s">
        <v>539</v>
      </c>
      <c r="J72" s="4" t="s">
        <v>540</v>
      </c>
      <c r="K72" s="2" t="s">
        <v>534</v>
      </c>
      <c r="L72" s="2" t="s">
        <v>285</v>
      </c>
      <c r="M72" s="4" t="s">
        <v>541</v>
      </c>
      <c r="N72" s="2" t="s">
        <v>32</v>
      </c>
      <c r="O72" s="4" t="s">
        <v>547</v>
      </c>
      <c r="P72" s="4" t="s">
        <v>543</v>
      </c>
      <c r="Q72" s="5" t="s">
        <v>35</v>
      </c>
      <c r="R72" s="2" t="s">
        <v>36</v>
      </c>
      <c r="S72" s="2">
        <v>2.2</v>
      </c>
    </row>
    <row r="73" spans="1:19" s="2" customFormat="1" x14ac:dyDescent="0.25">
      <c r="A73" s="2" t="s">
        <v>548</v>
      </c>
      <c r="B73" s="2" t="s">
        <v>535</v>
      </c>
      <c r="C73" s="2" t="s">
        <v>536</v>
      </c>
      <c r="D73" s="2" t="s">
        <v>72</v>
      </c>
      <c r="E73" s="2" t="s">
        <v>53</v>
      </c>
      <c r="F73" s="2" t="s">
        <v>337</v>
      </c>
      <c r="G73" s="2" t="s">
        <v>549</v>
      </c>
      <c r="H73" s="4" t="s">
        <v>550</v>
      </c>
      <c r="I73" s="4" t="s">
        <v>539</v>
      </c>
      <c r="J73" s="4" t="s">
        <v>56</v>
      </c>
      <c r="K73" s="2" t="s">
        <v>551</v>
      </c>
      <c r="L73" s="2" t="s">
        <v>30</v>
      </c>
      <c r="M73" s="4" t="s">
        <v>58</v>
      </c>
      <c r="N73" s="2" t="s">
        <v>32</v>
      </c>
      <c r="O73" s="4" t="s">
        <v>552</v>
      </c>
      <c r="P73" s="4" t="s">
        <v>543</v>
      </c>
      <c r="Q73" s="2" t="s">
        <v>60</v>
      </c>
      <c r="R73" s="2" t="s">
        <v>36</v>
      </c>
      <c r="S73" s="2">
        <v>0.45</v>
      </c>
    </row>
    <row r="74" spans="1:19" s="2" customFormat="1" x14ac:dyDescent="0.25">
      <c r="A74" s="2" t="s">
        <v>553</v>
      </c>
      <c r="B74" s="2" t="s">
        <v>554</v>
      </c>
      <c r="C74" s="2" t="s">
        <v>536</v>
      </c>
      <c r="D74" s="2" t="s">
        <v>122</v>
      </c>
      <c r="E74" s="2" t="s">
        <v>93</v>
      </c>
      <c r="F74" s="2" t="s">
        <v>73</v>
      </c>
      <c r="G74" s="2" t="s">
        <v>555</v>
      </c>
      <c r="H74" s="4" t="s">
        <v>556</v>
      </c>
      <c r="I74" s="4" t="s">
        <v>557</v>
      </c>
      <c r="J74" s="4" t="s">
        <v>558</v>
      </c>
      <c r="K74" s="2" t="s">
        <v>29</v>
      </c>
      <c r="L74" s="2" t="s">
        <v>44</v>
      </c>
      <c r="M74" s="4" t="s">
        <v>559</v>
      </c>
      <c r="N74" s="2" t="s">
        <v>32</v>
      </c>
      <c r="O74" s="4" t="s">
        <v>560</v>
      </c>
      <c r="P74" s="4" t="s">
        <v>561</v>
      </c>
      <c r="Q74" s="5" t="s">
        <v>35</v>
      </c>
      <c r="R74" s="2" t="s">
        <v>36</v>
      </c>
      <c r="S74" s="2">
        <v>2.6</v>
      </c>
    </row>
    <row r="75" spans="1:19" s="2" customFormat="1" x14ac:dyDescent="0.25">
      <c r="A75" s="2" t="s">
        <v>562</v>
      </c>
      <c r="B75" s="2" t="s">
        <v>563</v>
      </c>
      <c r="C75" s="2" t="s">
        <v>536</v>
      </c>
      <c r="D75" s="2" t="s">
        <v>122</v>
      </c>
      <c r="E75" s="2" t="s">
        <v>318</v>
      </c>
      <c r="F75" s="2" t="s">
        <v>94</v>
      </c>
      <c r="G75" s="2" t="s">
        <v>564</v>
      </c>
      <c r="H75" s="4" t="s">
        <v>565</v>
      </c>
      <c r="I75" s="4" t="s">
        <v>566</v>
      </c>
      <c r="J75" s="4" t="s">
        <v>567</v>
      </c>
      <c r="K75" s="2" t="s">
        <v>29</v>
      </c>
      <c r="L75" s="2" t="s">
        <v>44</v>
      </c>
      <c r="M75" s="4" t="s">
        <v>568</v>
      </c>
      <c r="N75" s="2" t="s">
        <v>32</v>
      </c>
      <c r="O75" s="4" t="s">
        <v>569</v>
      </c>
      <c r="P75" s="4" t="s">
        <v>570</v>
      </c>
      <c r="Q75" s="2" t="s">
        <v>60</v>
      </c>
      <c r="R75" s="2" t="s">
        <v>36</v>
      </c>
      <c r="S75" s="2">
        <v>2</v>
      </c>
    </row>
    <row r="76" spans="1:19" s="2" customFormat="1" x14ac:dyDescent="0.25">
      <c r="A76" s="2" t="s">
        <v>571</v>
      </c>
      <c r="B76" s="2" t="s">
        <v>572</v>
      </c>
      <c r="C76" s="2" t="s">
        <v>536</v>
      </c>
      <c r="D76" s="2" t="s">
        <v>122</v>
      </c>
      <c r="E76" s="2" t="s">
        <v>374</v>
      </c>
      <c r="F76" s="2" t="s">
        <v>94</v>
      </c>
      <c r="G76" s="2" t="s">
        <v>573</v>
      </c>
      <c r="H76" s="4" t="s">
        <v>574</v>
      </c>
      <c r="I76" s="4" t="s">
        <v>575</v>
      </c>
      <c r="J76" s="4" t="s">
        <v>576</v>
      </c>
      <c r="K76" s="2" t="s">
        <v>29</v>
      </c>
      <c r="L76" s="2" t="s">
        <v>285</v>
      </c>
      <c r="M76" s="4" t="s">
        <v>577</v>
      </c>
      <c r="N76" s="2" t="s">
        <v>32</v>
      </c>
      <c r="O76" s="4" t="s">
        <v>578</v>
      </c>
      <c r="P76" s="4" t="s">
        <v>579</v>
      </c>
      <c r="Q76" s="6" t="s">
        <v>278</v>
      </c>
      <c r="R76" s="2" t="s">
        <v>36</v>
      </c>
      <c r="S76" s="2">
        <v>2.3</v>
      </c>
    </row>
    <row r="77" spans="1:19" s="2" customFormat="1" x14ac:dyDescent="0.25">
      <c r="A77" s="2" t="s">
        <v>580</v>
      </c>
      <c r="B77" s="2" t="s">
        <v>572</v>
      </c>
      <c r="C77" s="2" t="s">
        <v>536</v>
      </c>
      <c r="D77" s="2" t="s">
        <v>122</v>
      </c>
      <c r="E77" s="2" t="s">
        <v>374</v>
      </c>
      <c r="F77" s="2" t="s">
        <v>94</v>
      </c>
      <c r="G77" s="2" t="s">
        <v>581</v>
      </c>
      <c r="H77" s="4" t="s">
        <v>582</v>
      </c>
      <c r="I77" s="4" t="s">
        <v>575</v>
      </c>
      <c r="J77" s="4" t="s">
        <v>576</v>
      </c>
      <c r="K77" s="2" t="s">
        <v>571</v>
      </c>
      <c r="L77" s="2" t="s">
        <v>285</v>
      </c>
      <c r="M77" s="4" t="s">
        <v>577</v>
      </c>
      <c r="N77" s="2" t="s">
        <v>32</v>
      </c>
      <c r="O77" s="4" t="s">
        <v>583</v>
      </c>
      <c r="P77" s="4" t="s">
        <v>579</v>
      </c>
      <c r="Q77" s="6" t="s">
        <v>278</v>
      </c>
      <c r="R77" s="2" t="s">
        <v>36</v>
      </c>
      <c r="S77" s="2">
        <v>2.5</v>
      </c>
    </row>
    <row r="78" spans="1:19" s="2" customFormat="1" x14ac:dyDescent="0.25">
      <c r="A78" s="2" t="s">
        <v>584</v>
      </c>
      <c r="B78" s="2" t="s">
        <v>572</v>
      </c>
      <c r="C78" s="2" t="s">
        <v>536</v>
      </c>
      <c r="D78" s="2" t="s">
        <v>122</v>
      </c>
      <c r="E78" s="2" t="s">
        <v>53</v>
      </c>
      <c r="F78" s="2" t="s">
        <v>94</v>
      </c>
      <c r="G78" s="2" t="s">
        <v>585</v>
      </c>
      <c r="H78" s="4" t="s">
        <v>586</v>
      </c>
      <c r="I78" s="4" t="s">
        <v>575</v>
      </c>
      <c r="J78" s="4" t="s">
        <v>56</v>
      </c>
      <c r="K78" s="2" t="s">
        <v>587</v>
      </c>
      <c r="L78" s="2" t="s">
        <v>30</v>
      </c>
      <c r="M78" s="4" t="s">
        <v>58</v>
      </c>
      <c r="N78" s="2" t="s">
        <v>32</v>
      </c>
      <c r="O78" s="4" t="s">
        <v>588</v>
      </c>
      <c r="P78" s="4" t="s">
        <v>579</v>
      </c>
      <c r="Q78" s="2" t="s">
        <v>60</v>
      </c>
      <c r="R78" s="2" t="s">
        <v>36</v>
      </c>
      <c r="S78" s="2">
        <v>0.45</v>
      </c>
    </row>
    <row r="79" spans="1:19" s="2" customFormat="1" x14ac:dyDescent="0.25">
      <c r="A79" s="2" t="s">
        <v>589</v>
      </c>
      <c r="B79" s="2" t="s">
        <v>590</v>
      </c>
      <c r="C79" s="2" t="s">
        <v>536</v>
      </c>
      <c r="D79" s="2" t="s">
        <v>122</v>
      </c>
      <c r="E79" s="2" t="s">
        <v>374</v>
      </c>
      <c r="F79" s="2" t="s">
        <v>94</v>
      </c>
      <c r="G79" s="2" t="s">
        <v>591</v>
      </c>
      <c r="H79" s="4" t="s">
        <v>592</v>
      </c>
      <c r="I79" s="4" t="s">
        <v>593</v>
      </c>
      <c r="J79" s="4" t="s">
        <v>594</v>
      </c>
      <c r="K79" s="2" t="s">
        <v>29</v>
      </c>
      <c r="L79" s="2" t="s">
        <v>285</v>
      </c>
      <c r="M79" s="4" t="s">
        <v>595</v>
      </c>
      <c r="N79" s="2" t="s">
        <v>32</v>
      </c>
      <c r="O79" s="4" t="s">
        <v>596</v>
      </c>
      <c r="P79" s="4" t="s">
        <v>597</v>
      </c>
      <c r="Q79" s="6" t="s">
        <v>278</v>
      </c>
      <c r="R79" s="2" t="s">
        <v>36</v>
      </c>
      <c r="S79" s="2">
        <v>1.7</v>
      </c>
    </row>
    <row r="80" spans="1:19" s="2" customFormat="1" x14ac:dyDescent="0.25">
      <c r="A80" s="2" t="s">
        <v>598</v>
      </c>
      <c r="B80" s="2" t="s">
        <v>590</v>
      </c>
      <c r="C80" s="2" t="s">
        <v>536</v>
      </c>
      <c r="D80" s="2" t="s">
        <v>122</v>
      </c>
      <c r="E80" s="2" t="s">
        <v>374</v>
      </c>
      <c r="F80" s="2" t="s">
        <v>94</v>
      </c>
      <c r="G80" s="2" t="s">
        <v>599</v>
      </c>
      <c r="H80" s="4" t="s">
        <v>600</v>
      </c>
      <c r="I80" s="4" t="s">
        <v>593</v>
      </c>
      <c r="J80" s="4" t="s">
        <v>594</v>
      </c>
      <c r="K80" s="2" t="s">
        <v>589</v>
      </c>
      <c r="L80" s="2" t="s">
        <v>285</v>
      </c>
      <c r="M80" s="4" t="s">
        <v>595</v>
      </c>
      <c r="N80" s="2" t="s">
        <v>32</v>
      </c>
      <c r="O80" s="4" t="s">
        <v>601</v>
      </c>
      <c r="P80" s="4" t="s">
        <v>597</v>
      </c>
      <c r="Q80" s="6" t="s">
        <v>278</v>
      </c>
      <c r="R80" s="2" t="s">
        <v>36</v>
      </c>
      <c r="S80" s="2">
        <v>2.4</v>
      </c>
    </row>
    <row r="81" spans="1:19" s="2" customFormat="1" x14ac:dyDescent="0.25">
      <c r="A81" s="2" t="s">
        <v>602</v>
      </c>
      <c r="B81" s="2" t="s">
        <v>590</v>
      </c>
      <c r="C81" s="2" t="s">
        <v>536</v>
      </c>
      <c r="D81" s="2" t="s">
        <v>122</v>
      </c>
      <c r="E81" s="2" t="s">
        <v>53</v>
      </c>
      <c r="F81" s="2" t="s">
        <v>94</v>
      </c>
      <c r="G81" s="2" t="s">
        <v>603</v>
      </c>
      <c r="H81" s="4" t="s">
        <v>604</v>
      </c>
      <c r="I81" s="4" t="s">
        <v>593</v>
      </c>
      <c r="J81" s="4" t="s">
        <v>56</v>
      </c>
      <c r="K81" s="2" t="s">
        <v>605</v>
      </c>
      <c r="L81" s="2" t="s">
        <v>30</v>
      </c>
      <c r="M81" s="4" t="s">
        <v>58</v>
      </c>
      <c r="N81" s="2" t="s">
        <v>32</v>
      </c>
      <c r="O81" s="4" t="s">
        <v>606</v>
      </c>
      <c r="P81" s="4" t="s">
        <v>597</v>
      </c>
      <c r="Q81" s="2" t="s">
        <v>60</v>
      </c>
      <c r="R81" s="2" t="s">
        <v>36</v>
      </c>
      <c r="S81" s="2">
        <v>0.4</v>
      </c>
    </row>
    <row r="82" spans="1:19" s="2" customFormat="1" x14ac:dyDescent="0.25">
      <c r="A82" s="2" t="s">
        <v>607</v>
      </c>
      <c r="B82" s="2" t="s">
        <v>608</v>
      </c>
      <c r="C82" s="2" t="s">
        <v>536</v>
      </c>
      <c r="D82" s="2" t="s">
        <v>122</v>
      </c>
      <c r="E82" s="2" t="s">
        <v>374</v>
      </c>
      <c r="F82" s="2" t="s">
        <v>337</v>
      </c>
      <c r="G82" s="2" t="s">
        <v>609</v>
      </c>
      <c r="H82" s="4" t="s">
        <v>610</v>
      </c>
      <c r="I82" s="4" t="s">
        <v>611</v>
      </c>
      <c r="J82" s="4" t="s">
        <v>612</v>
      </c>
      <c r="K82" s="2" t="s">
        <v>29</v>
      </c>
      <c r="L82" s="2" t="s">
        <v>285</v>
      </c>
      <c r="M82" s="4" t="s">
        <v>613</v>
      </c>
      <c r="N82" s="2" t="s">
        <v>32</v>
      </c>
      <c r="O82" s="4" t="s">
        <v>614</v>
      </c>
      <c r="P82" s="4" t="s">
        <v>615</v>
      </c>
      <c r="Q82" s="5" t="s">
        <v>35</v>
      </c>
      <c r="R82" s="2" t="s">
        <v>36</v>
      </c>
      <c r="S82" s="2">
        <v>2.6</v>
      </c>
    </row>
    <row r="83" spans="1:19" s="2" customFormat="1" x14ac:dyDescent="0.25">
      <c r="A83" s="2" t="s">
        <v>616</v>
      </c>
      <c r="B83" s="2" t="s">
        <v>608</v>
      </c>
      <c r="C83" s="2" t="s">
        <v>536</v>
      </c>
      <c r="D83" s="2" t="s">
        <v>122</v>
      </c>
      <c r="E83" s="2" t="s">
        <v>374</v>
      </c>
      <c r="F83" s="2" t="s">
        <v>337</v>
      </c>
      <c r="G83" s="2" t="s">
        <v>617</v>
      </c>
      <c r="H83" s="4" t="s">
        <v>618</v>
      </c>
      <c r="I83" s="4" t="s">
        <v>611</v>
      </c>
      <c r="J83" s="4" t="s">
        <v>612</v>
      </c>
      <c r="K83" s="2" t="s">
        <v>607</v>
      </c>
      <c r="L83" s="2" t="s">
        <v>285</v>
      </c>
      <c r="M83" s="4" t="s">
        <v>613</v>
      </c>
      <c r="N83" s="2" t="s">
        <v>32</v>
      </c>
      <c r="O83" s="4" t="s">
        <v>619</v>
      </c>
      <c r="P83" s="4" t="s">
        <v>615</v>
      </c>
      <c r="Q83" s="5" t="s">
        <v>35</v>
      </c>
      <c r="R83" s="2" t="s">
        <v>36</v>
      </c>
      <c r="S83" s="2">
        <v>2.5</v>
      </c>
    </row>
    <row r="84" spans="1:19" s="2" customFormat="1" x14ac:dyDescent="0.25">
      <c r="A84" s="2" t="s">
        <v>620</v>
      </c>
      <c r="B84" s="2" t="s">
        <v>608</v>
      </c>
      <c r="C84" s="2" t="s">
        <v>536</v>
      </c>
      <c r="D84" s="2" t="s">
        <v>122</v>
      </c>
      <c r="E84" s="2" t="s">
        <v>53</v>
      </c>
      <c r="F84" s="2" t="s">
        <v>337</v>
      </c>
      <c r="G84" s="2" t="s">
        <v>621</v>
      </c>
      <c r="H84" s="4" t="s">
        <v>622</v>
      </c>
      <c r="I84" s="4" t="s">
        <v>611</v>
      </c>
      <c r="J84" s="4" t="s">
        <v>56</v>
      </c>
      <c r="K84" s="2" t="s">
        <v>623</v>
      </c>
      <c r="L84" s="2" t="s">
        <v>30</v>
      </c>
      <c r="M84" s="4" t="s">
        <v>58</v>
      </c>
      <c r="N84" s="2" t="s">
        <v>32</v>
      </c>
      <c r="O84" s="4" t="s">
        <v>624</v>
      </c>
      <c r="P84" s="4" t="s">
        <v>615</v>
      </c>
      <c r="Q84" s="2" t="s">
        <v>60</v>
      </c>
      <c r="R84" s="2" t="s">
        <v>36</v>
      </c>
      <c r="S84" s="2">
        <v>0.45</v>
      </c>
    </row>
    <row r="85" spans="1:19" s="2" customFormat="1" x14ac:dyDescent="0.25">
      <c r="A85" s="2" t="s">
        <v>625</v>
      </c>
      <c r="B85" s="2" t="s">
        <v>626</v>
      </c>
      <c r="C85" s="2" t="s">
        <v>536</v>
      </c>
      <c r="D85" s="2" t="s">
        <v>122</v>
      </c>
      <c r="E85" s="2" t="s">
        <v>374</v>
      </c>
      <c r="F85" s="2" t="s">
        <v>337</v>
      </c>
      <c r="G85" s="2" t="s">
        <v>627</v>
      </c>
      <c r="H85" s="4" t="s">
        <v>628</v>
      </c>
      <c r="I85" s="4" t="s">
        <v>629</v>
      </c>
      <c r="J85" s="4" t="s">
        <v>630</v>
      </c>
      <c r="K85" s="2" t="s">
        <v>29</v>
      </c>
      <c r="L85" s="2" t="s">
        <v>44</v>
      </c>
      <c r="M85" s="4" t="s">
        <v>631</v>
      </c>
      <c r="N85" s="2" t="s">
        <v>32</v>
      </c>
      <c r="O85" s="4" t="s">
        <v>632</v>
      </c>
      <c r="P85" s="4" t="s">
        <v>277</v>
      </c>
      <c r="Q85" s="5" t="s">
        <v>35</v>
      </c>
      <c r="R85" s="2" t="s">
        <v>36</v>
      </c>
      <c r="S85" s="2">
        <v>2.3</v>
      </c>
    </row>
  </sheetData>
  <autoFilter ref="A1:S85"/>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7"/>
  <sheetFormatPr defaultRowHeight="15" outlineLevelRow="0" outlineLevelCol="0" x14ac:dyDescent="55"/>
  <cols>
    <col min="1" max="1" width="28" customWidth="1"/>
    <col min="2" max="4" width="14" customWidth="1"/>
  </cols>
  <sheetData>
    <row r="1" spans="1:1" s="7" customFormat="1" x14ac:dyDescent="0.25">
      <c r="A1" s="7" t="s">
        <v>633</v>
      </c>
    </row>
    <row r="2" spans="1:1" s="8" customFormat="1" x14ac:dyDescent="0.25">
      <c r="A2" s="8" t="s">
        <v>634</v>
      </c>
    </row>
    <row r="4" spans="1:2" x14ac:dyDescent="0.25">
      <c r="A4" t="s">
        <v>635</v>
      </c>
      <c r="B4">
        <f>COUNTA(Tasks!$A$2:$A$85)</f>
      </c>
    </row>
    <row r="5" spans="1:2" x14ac:dyDescent="0.25">
      <c r="A5" t="s">
        <v>636</v>
      </c>
      <c r="B5">
        <f>COUNTIF(Tasks!$N$2:$N$85,"YES")</f>
      </c>
    </row>
    <row r="6" spans="1:2" x14ac:dyDescent="0.25">
      <c r="A6" t="s">
        <v>637</v>
      </c>
      <c r="B6">
        <f>COUNTIF(Tasks!$N$2:$N$85,"BLOCKED")</f>
      </c>
    </row>
    <row r="7" spans="1:2" x14ac:dyDescent="0.25">
      <c r="A7" t="s">
        <v>638</v>
      </c>
      <c r="B7">
        <f>COUNTIFS(Tasks!$R$2:$R$85,"On-Hold",Tasks!$N$2:$N$85,"&lt;&gt;YES")</f>
      </c>
    </row>
    <row r="8" spans="1:2" s="9" customFormat="1" x14ac:dyDescent="0.25">
      <c r="A8" s="9" t="s">
        <v>639</v>
      </c>
      <c r="B8" s="10">
        <f>IF(COUNTA(Tasks!$A$2:$A$85)=0,0,COUNTIF(Tasks!$N$2:$N$85,"YES")/COUNTA(Tasks!$A$2:$A$85))</f>
      </c>
    </row>
    <row r="9" spans="1:2" s="9" customFormat="1" x14ac:dyDescent="0.25">
      <c r="A9" s="9" t="s">
        <v>640</v>
      </c>
      <c r="B9" s="11">
        <f>SUM(Tasks!$S$2:$S$85)</f>
      </c>
    </row>
    <row r="11" spans="1:4" s="12" customFormat="1" x14ac:dyDescent="0.25">
      <c r="A11" s="12" t="s">
        <v>641</v>
      </c>
      <c r="B11" s="12" t="s">
        <v>642</v>
      </c>
      <c r="C11" s="12" t="s">
        <v>643</v>
      </c>
      <c r="D11" s="12" t="s">
        <v>639</v>
      </c>
    </row>
    <row r="12" spans="1:4" x14ac:dyDescent="0.25">
      <c r="A12" t="s">
        <v>21</v>
      </c>
      <c r="B12">
        <f>COUNTIF(Tasks!$C$2:$C$85,"v0.2")</f>
      </c>
      <c r="C12">
        <f>COUNTIFS(Tasks!$C$2:$C$85,"v0.2",Tasks!$N$2:$N$85,"YES")</f>
      </c>
      <c r="D12" s="13">
        <f>IF(COUNTIF(Tasks!$C$2:$C$85,"v0.2")=0,0,COUNTIFS(Tasks!$C$2:$C$85,"v0.2",Tasks!$N$2:$N$85,"YES")/COUNTIF(Tasks!$C$2:$C$85,"v0.2"))</f>
      </c>
    </row>
    <row r="13" spans="1:4" x14ac:dyDescent="0.25">
      <c r="A13" t="s">
        <v>270</v>
      </c>
      <c r="B13">
        <f>COUNTIF(Tasks!$C$2:$C$85,"v0.3")</f>
      </c>
      <c r="C13">
        <f>COUNTIFS(Tasks!$C$2:$C$85,"v0.3",Tasks!$N$2:$N$85,"YES")</f>
      </c>
      <c r="D13" s="13">
        <f>IF(COUNTIF(Tasks!$C$2:$C$85,"v0.3")=0,0,COUNTIFS(Tasks!$C$2:$C$85,"v0.3",Tasks!$N$2:$N$85,"YES")/COUNTIF(Tasks!$C$2:$C$85,"v0.3"))</f>
      </c>
    </row>
    <row r="14" spans="1:4" x14ac:dyDescent="0.25">
      <c r="A14" t="s">
        <v>536</v>
      </c>
      <c r="B14">
        <f>COUNTIF(Tasks!$C$2:$C$85,"v0.4")</f>
      </c>
      <c r="C14">
        <f>COUNTIFS(Tasks!$C$2:$C$85,"v0.4",Tasks!$N$2:$N$85,"YES")</f>
      </c>
      <c r="D14" s="13">
        <f>IF(COUNTIF(Tasks!$C$2:$C$85,"v0.4")=0,0,COUNTIFS(Tasks!$C$2:$C$85,"v0.4",Tasks!$N$2:$N$85,"YES")/COUNTIF(Tasks!$C$2:$C$85,"v0.4"))</f>
      </c>
    </row>
    <row r="16" spans="1:4" s="12" customFormat="1" x14ac:dyDescent="0.25">
      <c r="A16" s="12" t="s">
        <v>644</v>
      </c>
      <c r="B16" s="12" t="s">
        <v>642</v>
      </c>
      <c r="C16" s="12" t="s">
        <v>643</v>
      </c>
      <c r="D16" s="12" t="s">
        <v>639</v>
      </c>
    </row>
    <row r="17" spans="1:4" x14ac:dyDescent="0.25">
      <c r="A17" t="s">
        <v>22</v>
      </c>
      <c r="B17">
        <f>COUNTIF(Tasks!$D$2:$D$85,"P0")</f>
      </c>
      <c r="C17">
        <f>COUNTIFS(Tasks!$D$2:$D$85,"P0",Tasks!$N$2:$N$85,"YES")</f>
      </c>
      <c r="D17" s="13">
        <f>IF(COUNTIF(Tasks!$D$2:$D$85,"P0")=0,0,COUNTIFS(Tasks!$D$2:$D$85,"P0",Tasks!$N$2:$N$85,"YES")/COUNTIF(Tasks!$D$2:$D$85,"P0"))</f>
      </c>
    </row>
    <row r="18" spans="1:4" x14ac:dyDescent="0.25">
      <c r="A18" t="s">
        <v>72</v>
      </c>
      <c r="B18">
        <f>COUNTIF(Tasks!$D$2:$D$85,"P1")</f>
      </c>
      <c r="C18">
        <f>COUNTIFS(Tasks!$D$2:$D$85,"P1",Tasks!$N$2:$N$85,"YES")</f>
      </c>
      <c r="D18" s="13">
        <f>IF(COUNTIF(Tasks!$D$2:$D$85,"P1")=0,0,COUNTIFS(Tasks!$D$2:$D$85,"P1",Tasks!$N$2:$N$85,"YES")/COUNTIF(Tasks!$D$2:$D$85,"P1"))</f>
      </c>
    </row>
    <row r="19" spans="1:4" x14ac:dyDescent="0.25">
      <c r="A19" t="s">
        <v>122</v>
      </c>
      <c r="B19">
        <f>COUNTIF(Tasks!$D$2:$D$85,"P2")</f>
      </c>
      <c r="C19">
        <f>COUNTIFS(Tasks!$D$2:$D$85,"P2",Tasks!$N$2:$N$85,"YES")</f>
      </c>
      <c r="D19" s="13">
        <f>IF(COUNTIF(Tasks!$D$2:$D$85,"P2")=0,0,COUNTIFS(Tasks!$D$2:$D$85,"P2",Tasks!$N$2:$N$85,"YES")/COUNTIF(Tasks!$D$2:$D$85,"P2"))</f>
      </c>
    </row>
    <row r="21" spans="1:4" s="12" customFormat="1" x14ac:dyDescent="0.25">
      <c r="A21" s="12" t="s">
        <v>645</v>
      </c>
      <c r="B21" s="12" t="s">
        <v>642</v>
      </c>
      <c r="C21" s="12" t="s">
        <v>643</v>
      </c>
      <c r="D21" s="12" t="s">
        <v>639</v>
      </c>
    </row>
    <row r="22" spans="1:4" x14ac:dyDescent="0.25">
      <c r="A22" t="s">
        <v>23</v>
      </c>
      <c r="B22">
        <f>COUNTIF(Tasks!$E$2:$E$85,"Bug")</f>
      </c>
      <c r="C22">
        <f>COUNTIFS(Tasks!$E$2:$E$85,"Bug",Tasks!$N$2:$N$85,"YES")</f>
      </c>
      <c r="D22" s="13">
        <f>IF(COUNTIF(Tasks!$E$2:$E$85,"Bug")=0,0,COUNTIFS(Tasks!$E$2:$E$85,"Bug",Tasks!$N$2:$N$85,"YES")/COUNTIF(Tasks!$E$2:$E$85,"Bug"))</f>
      </c>
    </row>
    <row r="23" spans="1:4" x14ac:dyDescent="0.25">
      <c r="A23" t="s">
        <v>93</v>
      </c>
      <c r="B23">
        <f>COUNTIF(Tasks!$E$2:$E$85,"Improvement")</f>
      </c>
      <c r="C23">
        <f>COUNTIFS(Tasks!$E$2:$E$85,"Improvement",Tasks!$N$2:$N$85,"YES")</f>
      </c>
      <c r="D23" s="13">
        <f>IF(COUNTIF(Tasks!$E$2:$E$85,"Improvement")=0,0,COUNTIFS(Tasks!$E$2:$E$85,"Improvement",Tasks!$N$2:$N$85,"YES")/COUNTIF(Tasks!$E$2:$E$85,"Improvement"))</f>
      </c>
    </row>
    <row r="24" spans="1:4" x14ac:dyDescent="0.25">
      <c r="A24" t="s">
        <v>318</v>
      </c>
      <c r="B24">
        <f>COUNTIF(Tasks!$E$2:$E$85,"Missing feature")</f>
      </c>
      <c r="C24">
        <f>COUNTIFS(Tasks!$E$2:$E$85,"Missing feature",Tasks!$N$2:$N$85,"YES")</f>
      </c>
      <c r="D24" s="13">
        <f>IF(COUNTIF(Tasks!$E$2:$E$85,"Missing feature")=0,0,COUNTIFS(Tasks!$E$2:$E$85,"Missing feature",Tasks!$N$2:$N$85,"YES")/COUNTIF(Tasks!$E$2:$E$85,"Missing feature"))</f>
      </c>
    </row>
    <row r="25" spans="1:4" x14ac:dyDescent="0.25">
      <c r="A25" t="s">
        <v>374</v>
      </c>
      <c r="B25">
        <f>COUNTIF(Tasks!$E$2:$E$85,"New feature")</f>
      </c>
      <c r="C25">
        <f>COUNTIFS(Tasks!$E$2:$E$85,"New feature",Tasks!$N$2:$N$85,"YES")</f>
      </c>
      <c r="D25" s="13">
        <f>IF(COUNTIF(Tasks!$E$2:$E$85,"New feature")=0,0,COUNTIFS(Tasks!$E$2:$E$85,"New feature",Tasks!$N$2:$N$85,"YES")/COUNTIF(Tasks!$E$2:$E$85,"New feature"))</f>
      </c>
    </row>
    <row r="26" spans="1:4" x14ac:dyDescent="0.25">
      <c r="A26" t="s">
        <v>224</v>
      </c>
      <c r="B26">
        <f>COUNTIF(Tasks!$E$2:$E$85,"Polish")</f>
      </c>
      <c r="C26">
        <f>COUNTIFS(Tasks!$E$2:$E$85,"Polish",Tasks!$N$2:$N$85,"YES")</f>
      </c>
      <c r="D26" s="13">
        <f>IF(COUNTIF(Tasks!$E$2:$E$85,"Polish")=0,0,COUNTIFS(Tasks!$E$2:$E$85,"Polish",Tasks!$N$2:$N$85,"YES")/COUNTIF(Tasks!$E$2:$E$85,"Polish"))</f>
      </c>
    </row>
    <row r="27" spans="1:4" x14ac:dyDescent="0.25">
      <c r="A27" t="s">
        <v>39</v>
      </c>
      <c r="B27">
        <f>COUNTIF(Tasks!$E$2:$E$85,"Security")</f>
      </c>
      <c r="C27">
        <f>COUNTIFS(Tasks!$E$2:$E$85,"Security",Tasks!$N$2:$N$85,"YES")</f>
      </c>
      <c r="D27" s="13">
        <f>IF(COUNTIF(Tasks!$E$2:$E$85,"Security")=0,0,COUNTIFS(Tasks!$E$2:$E$85,"Security",Tasks!$N$2:$N$85,"YES")/COUNTIF(Tasks!$E$2:$E$85,"Security"))</f>
      </c>
    </row>
    <row r="28" spans="1:4" x14ac:dyDescent="0.25">
      <c r="A28" t="s">
        <v>53</v>
      </c>
      <c r="B28">
        <f>COUNTIF(Tasks!$E$2:$E$85,"Test")</f>
      </c>
      <c r="C28">
        <f>COUNTIFS(Tasks!$E$2:$E$85,"Test",Tasks!$N$2:$N$85,"YES")</f>
      </c>
      <c r="D28" s="13">
        <f>IF(COUNTIF(Tasks!$E$2:$E$85,"Test")=0,0,COUNTIFS(Tasks!$E$2:$E$85,"Test",Tasks!$N$2:$N$85,"YES")/COUNTIF(Tasks!$E$2:$E$85,"Test"))</f>
      </c>
    </row>
    <row r="30" spans="1:4" s="12" customFormat="1" x14ac:dyDescent="0.25">
      <c r="A30" s="12" t="s">
        <v>646</v>
      </c>
      <c r="B30" s="12" t="s">
        <v>642</v>
      </c>
      <c r="C30" s="12" t="s">
        <v>643</v>
      </c>
      <c r="D30" s="12" t="s">
        <v>639</v>
      </c>
    </row>
    <row r="31" spans="1:4" x14ac:dyDescent="0.25">
      <c r="A31" t="s">
        <v>159</v>
      </c>
      <c r="B31">
        <f>COUNTIF(Tasks!$F$2:$F$85,"AI")</f>
      </c>
      <c r="C31">
        <f>COUNTIFS(Tasks!$F$2:$F$85,"AI",Tasks!$N$2:$N$85,"YES")</f>
      </c>
      <c r="D31" s="13">
        <f>IF(COUNTIF(Tasks!$F$2:$F$85,"AI")=0,0,COUNTIFS(Tasks!$F$2:$F$85,"AI",Tasks!$N$2:$N$85,"YES")/COUNTIF(Tasks!$F$2:$F$85,"AI"))</f>
      </c>
    </row>
    <row r="32" spans="1:4" x14ac:dyDescent="0.25">
      <c r="A32" t="s">
        <v>337</v>
      </c>
      <c r="B32">
        <f>COUNTIF(Tasks!$F$2:$F$85,"API")</f>
      </c>
      <c r="C32">
        <f>COUNTIFS(Tasks!$F$2:$F$85,"API",Tasks!$N$2:$N$85,"YES")</f>
      </c>
      <c r="D32" s="13">
        <f>IF(COUNTIF(Tasks!$F$2:$F$85,"API")=0,0,COUNTIFS(Tasks!$F$2:$F$85,"API",Tasks!$N$2:$N$85,"YES")/COUNTIF(Tasks!$F$2:$F$85,"API"))</f>
      </c>
    </row>
    <row r="33" spans="1:4" x14ac:dyDescent="0.25">
      <c r="A33" t="s">
        <v>24</v>
      </c>
      <c r="B33">
        <f>COUNTIF(Tasks!$F$2:$F$85,"Auth")</f>
      </c>
      <c r="C33">
        <f>COUNTIFS(Tasks!$F$2:$F$85,"Auth",Tasks!$N$2:$N$85,"YES")</f>
      </c>
      <c r="D33" s="13">
        <f>IF(COUNTIF(Tasks!$F$2:$F$85,"Auth")=0,0,COUNTIFS(Tasks!$F$2:$F$85,"Auth",Tasks!$N$2:$N$85,"YES")/COUNTIF(Tasks!$F$2:$F$85,"Auth"))</f>
      </c>
    </row>
    <row r="34" spans="1:4" x14ac:dyDescent="0.25">
      <c r="A34" t="s">
        <v>73</v>
      </c>
      <c r="B34">
        <f>COUNTIF(Tasks!$F$2:$F$85,"DB")</f>
      </c>
      <c r="C34">
        <f>COUNTIFS(Tasks!$F$2:$F$85,"DB",Tasks!$N$2:$N$85,"YES")</f>
      </c>
      <c r="D34" s="13">
        <f>IF(COUNTIF(Tasks!$F$2:$F$85,"DB")=0,0,COUNTIFS(Tasks!$F$2:$F$85,"DB",Tasks!$N$2:$N$85,"YES")/COUNTIF(Tasks!$F$2:$F$85,"DB"))</f>
      </c>
    </row>
    <row r="35" spans="1:4" x14ac:dyDescent="0.25">
      <c r="A35" t="s">
        <v>187</v>
      </c>
      <c r="B35">
        <f>COUNTIF(Tasks!$F$2:$F$85,"Docs")</f>
      </c>
      <c r="C35">
        <f>COUNTIFS(Tasks!$F$2:$F$85,"Docs",Tasks!$N$2:$N$85,"YES")</f>
      </c>
      <c r="D35" s="13">
        <f>IF(COUNTIF(Tasks!$F$2:$F$85,"Docs")=0,0,COUNTIFS(Tasks!$F$2:$F$85,"Docs",Tasks!$N$2:$N$85,"YES")/COUNTIF(Tasks!$F$2:$F$85,"Docs"))</f>
      </c>
    </row>
    <row r="36" spans="1:4" x14ac:dyDescent="0.25">
      <c r="A36" t="s">
        <v>83</v>
      </c>
      <c r="B36">
        <f>COUNTIF(Tasks!$F$2:$F$85,"Infra")</f>
      </c>
      <c r="C36">
        <f>COUNTIFS(Tasks!$F$2:$F$85,"Infra",Tasks!$N$2:$N$85,"YES")</f>
      </c>
      <c r="D36" s="13">
        <f>IF(COUNTIF(Tasks!$F$2:$F$85,"Infra")=0,0,COUNTIFS(Tasks!$F$2:$F$85,"Infra",Tasks!$N$2:$N$85,"YES")/COUNTIF(Tasks!$F$2:$F$85,"Infra"))</f>
      </c>
    </row>
    <row r="37" spans="1:4" x14ac:dyDescent="0.25">
      <c r="A37" t="s">
        <v>53</v>
      </c>
      <c r="B37">
        <f>COUNTIF(Tasks!$F$2:$F$85,"Test")</f>
      </c>
      <c r="C37">
        <f>COUNTIFS(Tasks!$F$2:$F$85,"Test",Tasks!$N$2:$N$85,"YES")</f>
      </c>
      <c r="D37" s="13">
        <f>IF(COUNTIF(Tasks!$F$2:$F$85,"Test")=0,0,COUNTIFS(Tasks!$F$2:$F$85,"Test",Tasks!$N$2:$N$85,"YES")/COUNTIF(Tasks!$F$2:$F$85,"Test"))</f>
      </c>
    </row>
    <row r="38" spans="1:4" x14ac:dyDescent="0.25">
      <c r="A38" t="s">
        <v>94</v>
      </c>
      <c r="B38">
        <f>COUNTIF(Tasks!$F$2:$F$85,"UI")</f>
      </c>
      <c r="C38">
        <f>COUNTIFS(Tasks!$F$2:$F$85,"UI",Tasks!$N$2:$N$85,"YES")</f>
      </c>
      <c r="D38" s="13">
        <f>IF(COUNTIF(Tasks!$F$2:$F$85,"UI")=0,0,COUNTIFS(Tasks!$F$2:$F$85,"UI",Tasks!$N$2:$N$85,"YES")/COUNTIF(Tasks!$F$2:$F$85,"UI"))</f>
      </c>
    </row>
    <row r="40" spans="1:4" s="12" customFormat="1" x14ac:dyDescent="0.25">
      <c r="A40" s="12" t="s">
        <v>647</v>
      </c>
      <c r="B40" s="12" t="s">
        <v>642</v>
      </c>
      <c r="C40" s="12" t="s">
        <v>643</v>
      </c>
      <c r="D40" s="12" t="s">
        <v>639</v>
      </c>
    </row>
    <row r="41" spans="1:4" x14ac:dyDescent="0.25">
      <c r="A41" t="s">
        <v>60</v>
      </c>
      <c r="B41">
        <f>COUNTIF(Tasks!$Q$2:$Q$85,"Low")</f>
      </c>
      <c r="C41">
        <f>COUNTIFS(Tasks!$Q$2:$Q$85,"Low",Tasks!$N$2:$N$85,"YES")</f>
      </c>
      <c r="D41" s="13">
        <f>IF(COUNTIF(Tasks!$Q$2:$Q$85,"Low")=0,0,COUNTIFS(Tasks!$Q$2:$Q$85,"Low",Tasks!$N$2:$N$85,"YES")/COUNTIF(Tasks!$Q$2:$Q$85,"Low"))</f>
      </c>
    </row>
    <row r="42" spans="1:4" x14ac:dyDescent="0.25">
      <c r="A42" t="s">
        <v>278</v>
      </c>
      <c r="B42">
        <f>COUNTIF(Tasks!$Q$2:$Q$85,"Medium")</f>
      </c>
      <c r="C42">
        <f>COUNTIFS(Tasks!$Q$2:$Q$85,"Medium",Tasks!$N$2:$N$85,"YES")</f>
      </c>
      <c r="D42" s="13">
        <f>IF(COUNTIF(Tasks!$Q$2:$Q$85,"Medium")=0,0,COUNTIFS(Tasks!$Q$2:$Q$85,"Medium",Tasks!$N$2:$N$85,"YES")/COUNTIF(Tasks!$Q$2:$Q$85,"Medium"))</f>
      </c>
    </row>
    <row r="43" spans="1:4" x14ac:dyDescent="0.25">
      <c r="A43" t="s">
        <v>35</v>
      </c>
      <c r="B43">
        <f>COUNTIF(Tasks!$Q$2:$Q$85,"High")</f>
      </c>
      <c r="C43">
        <f>COUNTIFS(Tasks!$Q$2:$Q$85,"High",Tasks!$N$2:$N$85,"YES")</f>
      </c>
      <c r="D43" s="13">
        <f>IF(COUNTIF(Tasks!$Q$2:$Q$85,"High")=0,0,COUNTIFS(Tasks!$Q$2:$Q$85,"High",Tasks!$N$2:$N$85,"YES")/COUNTIF(Tasks!$Q$2:$Q$85,"High"))</f>
      </c>
    </row>
    <row r="45" spans="1:4" s="12" customFormat="1" x14ac:dyDescent="0.25">
      <c r="A45" s="12" t="s">
        <v>648</v>
      </c>
      <c r="B45" s="12" t="s">
        <v>642</v>
      </c>
      <c r="C45" s="12" t="s">
        <v>643</v>
      </c>
      <c r="D45" s="12" t="s">
        <v>639</v>
      </c>
    </row>
    <row r="46" spans="1:4" x14ac:dyDescent="0.25">
      <c r="A46" t="s">
        <v>36</v>
      </c>
      <c r="B46">
        <f>COUNTIF(Tasks!$R$2:$R$85,"Proceed")</f>
      </c>
      <c r="C46">
        <f>COUNTIFS(Tasks!$R$2:$R$85,"Proceed",Tasks!$N$2:$N$85,"YES")</f>
      </c>
      <c r="D46" s="13">
        <f>IF(COUNTIF(Tasks!$R$2:$R$85,"Proceed")=0,0,COUNTIFS(Tasks!$R$2:$R$85,"Proceed",Tasks!$N$2:$N$85,"YES")/COUNTIF(Tasks!$R$2:$R$85,"Proceed"))</f>
      </c>
    </row>
    <row r="47" spans="1:4" x14ac:dyDescent="0.25">
      <c r="A47" t="s">
        <v>649</v>
      </c>
      <c r="B47">
        <f>COUNTIF(Tasks!$R$2:$R$85,"On-Hold")</f>
      </c>
      <c r="C47">
        <f>COUNTIFS(Tasks!$R$2:$R$85,"On-Hold",Tasks!$N$2:$N$85,"YES")</f>
      </c>
      <c r="D47" s="13">
        <f>IF(COUNTIF(Tasks!$R$2:$R$85,"On-Hold")=0,0,COUNTIFS(Tasks!$R$2:$R$85,"On-Hold",Tasks!$N$2:$N$85,"YES")/COUNTIF(Tasks!$R$2:$R$85,"On-Hold"))</f>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Ideon</dc:creator>
  <dc:title/>
  <dc:subject/>
  <dc:description/>
  <cp:keywords/>
  <cp:category/>
  <cp:lastModifiedBy>Unknown</cp:lastModifiedBy>
  <dcterms:created xsi:type="dcterms:W3CDTF">2026-09-20T09:47:13Z</dcterms:created>
  <dcterms:modified xsi:type="dcterms:W3CDTF">2026-09-20T09:47:13Z</dcterms:modified>
</cp:coreProperties>
</file>