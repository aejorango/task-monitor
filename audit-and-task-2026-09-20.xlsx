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asks" state="visible" r:id="rId4"/>
    <sheet sheetId="2" name="Summary" state="visible" r:id="rId5"/>
  </sheets>
  <calcPr calcId="171027"/>
</workbook>
</file>

<file path=xl/sharedStrings.xml><?xml version="1.0" encoding="utf-8"?>
<sst xmlns="http://schemas.openxmlformats.org/spreadsheetml/2006/main" count="1589" uniqueCount="565">
  <si>
    <t>Task ID</t>
  </si>
  <si>
    <t>Source ID</t>
  </si>
  <si>
    <t>Release</t>
  </si>
  <si>
    <t>Priority</t>
  </si>
  <si>
    <t>Category</t>
  </si>
  <si>
    <t>Area</t>
  </si>
  <si>
    <t>Task title</t>
  </si>
  <si>
    <t>Detailed instructions</t>
  </si>
  <si>
    <t>Acceptance criteria</t>
  </si>
  <si>
    <t>Files / modules</t>
  </si>
  <si>
    <t>Dependencies</t>
  </si>
  <si>
    <t>Estimate</t>
  </si>
  <si>
    <t>Test instructions</t>
  </si>
  <si>
    <t>Done?</t>
  </si>
  <si>
    <t>Notes</t>
  </si>
  <si>
    <t>Location</t>
  </si>
  <si>
    <t>Risk</t>
  </si>
  <si>
    <t>Recommendation</t>
  </si>
  <si>
    <t>Est. AI cost (USD)</t>
  </si>
  <si>
    <t>T-0001</t>
  </si>
  <si>
    <t>BUG-001</t>
  </si>
  <si>
    <t>v0.2</t>
  </si>
  <si>
    <t>P0</t>
  </si>
  <si>
    <t>Bug</t>
  </si>
  <si>
    <t>Auth</t>
  </si>
  <si>
    <t>Any user can self-assign a company and read its AI key</t>
  </si>
  <si>
    <t xml:space="preserve">The users update rule only pins status, role and email; companyId is free. A regular approved user can call updateDoc(users/{me}, {companyId: X}) from the browser console, after which the companies read rule (isMyCompany) lets them read companies/X including anthropicApiKey and then spend that company's budget. Superadmin-only assignment in Settings is UI-only.
Reproduction: Sign in as a normal approved user. In DevTools run updateDoc on users/&lt;uid&gt; with {companyId:'&lt;any company id&gt;'} (ids are visible to superadmins; brute-force is not needed if the user was ever in a company). Then getDoc(companies/&lt;id&gt;) returns the API key.
Root cause: Self-update rule enumerates immutable fields instead of allowing only displayName/photoURL; companyId is a privilege field written by the same document path.
Fix: In the users update rule add request.resource.data.get('companyId','') == resource.data.get('companyId','') to the self branch (or use diff().affectedKeys().hasOnly(['displayName','photoURL'])). Deploy with npm run deploy:rules. Longer term move the key server-side (see the AI-proxy finding).
Where to see it: Settings → User Management (Company dropdown) / any page with DevTools
Risk of applying: High — Rules change affects every profile write; superadmin assignment path must keep working. No emulator tests exist today. Recommendation: On-Hold.
Files: firestore.rules:340-348 · firestore.rules:301-309 · src/services/firebase.js:271-275</t>
  </si>
  <si>
    <t xml:space="preserve">1. Given an approved non-superadmin user
2. When they write companyId on their own users document
3. Then Firestore rejects the write with permission-denied and no company document becomes readable</t>
  </si>
  <si>
    <t>firestore.rules:340-348 · firestore.rules:301-309 · src/services/firebase.js:271-275</t>
  </si>
  <si>
    <t/>
  </si>
  <si>
    <t>S</t>
  </si>
  <si>
    <t xml:space="preserve">Add a Firestore emulator rules test (firebase emulators:exec) that asserts the self-update with companyId is denied and superadmin update is allowed; manually verify with the console steps above after deploying rules.
Run: npm test</t>
  </si>
  <si>
    <t>Settings → User Management (Company dropdown) / any page with DevTools</t>
  </si>
  <si>
    <t>High</t>
  </si>
  <si>
    <t>Proceed</t>
  </si>
  <si>
    <t>T-0002</t>
  </si>
  <si>
    <t>BUG-002</t>
  </si>
  <si>
    <t>Security</t>
  </si>
  <si>
    <t>Invite links let any signed-in user become project admin — API/data layer</t>
  </si>
  <si>
    <t xml:space="preserve">invites create only requires userId == auth.uid, so anyone can create an invite for ANY projectId with role 'admin' and immediately claim it; isClaimingInvite then grants the ACL. Worse, invites are readable by every authenticated user (allow read: if request.auth != null), so all live invite ids (the 'secret' URL) and projectIds are enumerable. presence is also world-readable and leaks taskIds and names across workspaces.
Reproduction: As any approved user, getDocs(collection('invites')) lists every invite. Or addDoc(invites,{userId:me,projectId:&lt;target&gt;,role:'admin',revoked:false,claims:[]}) then call claimInvite(id) → you are admin of the target project and can read/edit its tasks.
Root cause: Invite creation is not gated on project admin/owner rights, invite reads are not restricted to the creator or exact-id lookups, and claim validation trusts the invite doc.
Fix: Rules: allow create only if hasProjectRole(projectId,'admin') || isOwner(project) || isWorkspaceAdmin(project.workspaceId); allow read only to the creator (list) — claiming should fetch by exact doc id (get) which works without list permission; restrict presence read to workspace members or drop cross-workspace fields.
Where to see it: Projects → project editor → Sharing → Generate invite link
Risk of applying: High — Changes rule semantics for invites and presence; getInvite currently uses a query on __name__ which needs list permission — switch it to getDoc. Recommendation: On-Hold.
Scope of this row: server-side changes only (routes, validation, database, spec). Leave the UI for the next row.</t>
  </si>
  <si>
    <t xml:space="preserve">1. Given a user who is not an admin of project P
2. When they create an invite for P
3. Then the write is denied
4. Given a valid invite id
5. When the recipient opens #/invite/&lt;id&gt;
6. Then claim still succeeds</t>
  </si>
  <si>
    <t>firestore.rules:188-198 · firestore.rules:169-186 · firestore.rules:272-278 · src/services/firebase.js:1984-2062</t>
  </si>
  <si>
    <t>M</t>
  </si>
  <si>
    <t xml:space="preserve">Emulator rules tests for: non-admin create denied; admin create allowed; list invites denied for non-creator; get-by-id allowed. Manual: generate link in Projects → Share, open in incognito, accept.
Run: npm test</t>
  </si>
  <si>
    <t>Projects → project editor → Sharing → Generate invite link</t>
  </si>
  <si>
    <t>T-0003</t>
  </si>
  <si>
    <t>Invite links let any signed-in user become project admin — UI</t>
  </si>
  <si>
    <t xml:space="preserve">invites create only requires userId == auth.uid, so anyone can create an invite for ANY projectId with role 'admin' and immediately claim it; isClaimingInvite then grants the ACL. Worse, invites are readable by every authenticated user (allow read: if request.auth != null), so all live invite ids (the 'secret' URL) and projectIds are enumerable. presence is also world-readable and leaks taskIds and names across workspaces.
Reproduction: As any approved user, getDocs(collection('invites')) lists every invite. Or addDoc(invites,{userId:me,projectId:&lt;target&gt;,role:'admin',revoked:false,claims:[]}) then call claimInvite(id) → you are admin of the target project and can read/edit its tasks.
Root cause: Invite creation is not gated on project admin/owner rights, invite reads are not restricted to the creator or exact-id lookups, and claim validation trusts the invite doc.
Fix: Rules: allow create only if hasProjectRole(projectId,'admin') || isOwner(project) || isWorkspaceAdmin(project.workspaceId); allow read only to the creator (list) — claiming should fetch by exact doc id (get) which works without list permission; restrict presence read to workspace members or drop cross-workspace fields.
Where to see it: Projects → project editor → Sharing → Generate invite link
Risk of applying: High — Changes rule semantics for invites and presence; getInvite currently uses a query on __name__ which needs list permission — switch it to getDoc. Recommendation: On-Hold.
Scope of this row: client-side changes (pages, components, styles) that use the API from T-0002. Plain-language inputs only.</t>
  </si>
  <si>
    <t>T-0004</t>
  </si>
  <si>
    <t>Test</t>
  </si>
  <si>
    <t>Invite links let any signed-in user become project admin — tests &amp; docs</t>
  </si>
  <si>
    <t>Add automated tests covering BUG-002 (API and, where possible, UI), update README.md/Implementation_plan.md status, append CHANGELOG.md.</t>
  </si>
  <si>
    <t>server/src/app.test.ts · README.md · Implementation_plan.md · CHANGELOG.md</t>
  </si>
  <si>
    <t>T-0002, T-0003</t>
  </si>
  <si>
    <t>npm test passes; docs mention the feature.</t>
  </si>
  <si>
    <t>Low</t>
  </si>
  <si>
    <t>T-0005</t>
  </si>
  <si>
    <t>BUG-003</t>
  </si>
  <si>
    <t>Approval gate is client-side only; pending users can write data</t>
  </si>
  <si>
    <t xml:space="preserve">App.jsx routes pending/rejected users to PendingApprovalView, but firestore.rules never checks users/{uid}.status for workspaces, projects, tasks, activities etc. A rejected user can still create workspaces and documents through the SDK, and can claim invites.
Reproduction: Sign in with an unapproved Google account, then from DevTools call addWorkspace(uid,{name:'x'}) — it succeeds.
Root cause: No isApprovedUser() helper in rules.
Fix: Add function isApproved(){ return exists(users/uid) &amp;&amp; get(users/uid).data.status=='approved'; } and AND it into every create/update/delete rule (and reads except users/{self}).
Where to see it: Waiting for approval screen (whole app)
Risk of applying: High — Adds a document read to every rule evaluation (cost); superadmin bootstrap path must stay allowed. Recommendation: On-Hold.
Files: src/App.jsx:105-113 · firestore.rules:95-112 · firestore.rules:130-148</t>
  </si>
  <si>
    <t xml:space="preserve">1. Given a user whose profile status is pending or rejected
2. When they attempt any Firestore write outside users/{self}
3. Then it is denied</t>
  </si>
  <si>
    <t>src/App.jsx:105-113 · firestore.rules:95-112 · firestore.rules:130-148</t>
  </si>
  <si>
    <t xml:space="preserve">Emulator rules tests with a pending user fixture; manual check via DevTools as above.
Run: npm test</t>
  </si>
  <si>
    <t>Waiting for approval screen (whole app)</t>
  </si>
  <si>
    <t>T-0006</t>
  </si>
  <si>
    <t>BUG-004</t>
  </si>
  <si>
    <t>P1</t>
  </si>
  <si>
    <t>DB</t>
  </si>
  <si>
    <t>Next recurring task is created without workspaceId</t>
  </si>
  <si>
    <t xml:space="preserve">spawnNextRecurrence writes the new task without workspaceId (and without assignedTo/links/customValues). The create rule then only passes via the projectId branch, and even when it passes the task is invisible to subscribeToTasks(workspaceId), so the 'next instance' silently never appears on the Board.
Reproduction: Create a task with Recurring = weekly, drag it to Done. Look for the next instance on the Board/Calendar: it is missing (or console shows permission-denied).
Root cause: Copy of the task payload predates the workspace model; addTask enforces workspaceId but spawnNextRecurrence bypasses addTask.
Fix: Reuse addTask(task.userId,{...task fields, workspaceId: task.workspaceId, recurrenceParentId, plan: next}) so all v9+ fields are inherited; add a unit test around nextRecurrenceDates and a spawn test with a mocked addDoc.
Where to see it: Kanban → task card → drag to Done
Risk of applying: High — Creates stored documents; existing orphaned instances need a one-off backfill of workspaceId. Recommendation: On-Hold.
Files: src/services/firebase.js:1060-1111 · src/services/firebase.js:1129-1148</t>
  </si>
  <si>
    <t xml:space="preserve">1. Given a weekly recurring task in workspace W
2. When it is marked done
3. Then a new todo task with the same workspaceId and shifted dates appears on the Board of W</t>
  </si>
  <si>
    <t>src/services/firebase.js:1060-1111 · src/services/firebase.js:1129-1148</t>
  </si>
  <si>
    <t xml:space="preserve">Mark a recurring task done; confirm the new card appears with 🔁 badge and correct dates; check Firestore doc has workspaceId.
Run: npm test</t>
  </si>
  <si>
    <t>Kanban → task card → drag to Done</t>
  </si>
  <si>
    <t>T-0007</t>
  </si>
  <si>
    <t>IMP-002</t>
  </si>
  <si>
    <t>Infra</t>
  </si>
  <si>
    <t>Bridge lets web pages set the executable it spawns</t>
  </si>
  <si>
    <t xml:space="preserve">POST /ai/settings accepts cliPath and the bridge spawns that path for every question. Any page on an allow-listed origin (including the production site) can point the bridge at an arbitrary local binary with attacker-controlled argv, turning an XSS or compromised deploy into local code execution on the operator's Mac.
Reproduction: From the production site console: fetch('http://127.0.0.1:4319/ai/settings',{method:'POST',headers:{'content-type':'application/json'},body:JSON.stringify({cliPath:'/usr/bin/say'})}) then trigger any AI call.
Root cause: Settings endpoint exposes an unrestricted path field without an auth token.
Fix: Drop cliPath from the HTTP-settable keys (env/config-file only), validate cliModel against a whitelist, and require a per-session token that the UI reads from the bridge console output or a local file.
Where to see it: Settings → AI brain (superadmin) / bridge
Risk of applying: High — Untested path; changes bridge contract used by Settings save. Recommendation: On-Hold.
Files: bridge/server.mjs:254-258 · bridge/ai.mjs:53-69 · bridge/ai.mjs:77-79</t>
  </si>
  <si>
    <t xml:space="preserve">1. Given the bridge is running
2. When a page posts cliPath to /ai/settings
3. Then the response ignores it and the CLI path stays unchanged</t>
  </si>
  <si>
    <t>bridge/server.mjs:254-258 · bridge/ai.mjs:53-69 · bridge/ai.mjs:77-79</t>
  </si>
  <si>
    <t xml:space="preserve">Add a node --test case for setAiSettings ignoring cliPath from HTTP; curl the endpoint and read GET /ai/settings.
Run: npm test</t>
  </si>
  <si>
    <t>Settings → AI brain (superadmin) / bridge</t>
  </si>
  <si>
    <t>T-0008</t>
  </si>
  <si>
    <t>IMP-004</t>
  </si>
  <si>
    <t>Improvement</t>
  </si>
  <si>
    <t>UI</t>
  </si>
  <si>
    <t>No error boundary; render errors blank the app</t>
  </si>
  <si>
    <t xml:space="preserve">main.jsx renders App with no React error boundary. A thrown render error (e.g. a task with unexpected data shape in a card) leaves the user with a white page and no recovery.
Reproduction: Temporarily throw inside CardBody; the entire app disappears.
Root cause: Missing boundary component.
Fix: Add an ErrorBoundary around AppShell and around each Suspense view with a friendly message and Reload button; log to console.
Where to see it: All pages
Risk of applying: Low — Additive component. Recommendation: Proceed.
Files: src/main.jsx:7-16 · src/App.jsx:62-116</t>
  </si>
  <si>
    <t xml:space="preserve">1. Given one view throws
2. When it renders
3. Then the sidebar stays usable and the view shows an error card with Retry</t>
  </si>
  <si>
    <t>src/main.jsx:7-16 · src/App.jsx:62-116</t>
  </si>
  <si>
    <t xml:space="preserve">Inject a throw in a lazy view and verify the fallback.
Run: npm test</t>
  </si>
  <si>
    <t>All pages</t>
  </si>
  <si>
    <t>T-0009</t>
  </si>
  <si>
    <t>IMP-005</t>
  </si>
  <si>
    <t>Tests cover only bridge parsing and due-alert rules — API/data layer</t>
  </si>
  <si>
    <t xml:space="preserve">npm test runs bridge/*.test.mjs and src/**/*.test.mjs; untested: recurrence date math, nlpQuickAdd parser, askAi digest/search/action resolution (1,500 lines), CSV parser, and all Firestore security rules. Most of the bugs in this audit sit in untested code.
Reproduction: Run npm test: 3 suites only.
Root cause: Pure logic lives inside firebase.js and components, hard to import in node.
Fix: Extract recurrence and csv parsing into src/services/*.js pure modules with node --test files; add firebase emulator rules tests under tests/rules with a npm run test:rules script.
Where to see it: Developer workflow
Risk of applying: Low — Refactor moves pure functions; behaviour unchanged. Recommendation: Proceed.
Scope of this row: server-side changes only (routes, validation, database, spec). Leave the UI for the next row.</t>
  </si>
  <si>
    <t xml:space="preserve">1. Given npm test
2. When it runs
3. Then recurrence, quick-add parsing, askAi search and rules suites execute and pass</t>
  </si>
  <si>
    <t>package.json:9 · src/services/firebase.js:1018-1058 · src/services/nlpQuickAdd.js · src/services/askAi.js · src/components/CsvImporter.jsx:11-34</t>
  </si>
  <si>
    <t xml:space="preserve">CI: npm test and firebase emulators:exec 'npm run test:rules'.
Run: npm test</t>
  </si>
  <si>
    <t>Developer workflow</t>
  </si>
  <si>
    <t>T-0010</t>
  </si>
  <si>
    <t>Tests cover only bridge parsing and due-alert rules — UI</t>
  </si>
  <si>
    <t xml:space="preserve">npm test runs bridge/*.test.mjs and src/**/*.test.mjs; untested: recurrence date math, nlpQuickAdd parser, askAi digest/search/action resolution (1,500 lines), CSV parser, and all Firestore security rules. Most of the bugs in this audit sit in untested code.
Reproduction: Run npm test: 3 suites only.
Root cause: Pure logic lives inside firebase.js and components, hard to import in node.
Fix: Extract recurrence and csv parsing into src/services/*.js pure modules with node --test files; add firebase emulator rules tests under tests/rules with a npm run test:rules script.
Where to see it: Developer workflow
Risk of applying: Low — Refactor moves pure functions; behaviour unchanged. Recommendation: Proceed.
Scope of this row: client-side changes (pages, components, styles) that use the API from T-0009. Plain-language inputs only.</t>
  </si>
  <si>
    <t>T-0011</t>
  </si>
  <si>
    <t>Tests cover only bridge parsing and due-alert rules — tests &amp; docs</t>
  </si>
  <si>
    <t>Add automated tests covering IMP-005 (API and, where possible, UI), update README.md/Implementation_plan.md status, append CHANGELOG.md.</t>
  </si>
  <si>
    <t>T-0009, T-0010</t>
  </si>
  <si>
    <t>T-0012</t>
  </si>
  <si>
    <t>BUG-005</t>
  </si>
  <si>
    <t>P2</t>
  </si>
  <si>
    <t>Default project setting is never applied to quick-add</t>
  </si>
  <si>
    <t xml:space="preserve">Settings → Defaults offers 'Default project for quick-add' and stores settings.defaultProject, but TaskForm never reads useSettings; it always preselects projects[0]. Dead control.
Reproduction: Set a default project in Settings, go to Kanban with All projects: the quick-add dropdown shows the first project instead.
Root cause: Setting was added without wiring the consumer.
Fix: In TaskForm, read settings.defaultProject and prefer it (if it exists in projects) before projects[0].
Where to see it: Settings → Defaults; Kanban → quick-add row
Risk of applying: Low — Single component change. Recommendation: Proceed.
Files: src/components/SettingsView.jsx:355-366 · src/components/TaskForm.jsx:46-54 · src/hooks/useSettings.js:11</t>
  </si>
  <si>
    <t xml:space="preserve">1. Given defaultProject is set to P
2. When the Board quick-add mounts with All projects
3. Then P is preselected</t>
  </si>
  <si>
    <t>src/components/SettingsView.jsx:355-366 · src/components/TaskForm.jsx:46-54 · src/hooks/useSettings.js:11</t>
  </si>
  <si>
    <t xml:space="preserve">Set default, reload Kanban, check dropdown value.
Run: npm test</t>
  </si>
  <si>
    <t>Settings → Defaults; Kanban → quick-add row</t>
  </si>
  <si>
    <t>T-0013</t>
  </si>
  <si>
    <t>BUG-006</t>
  </si>
  <si>
    <t>'Shared' badge can never render</t>
  </si>
  <si>
    <t xml:space="preserve">AppShell and ProjectsView render a Shared badge when p._shared is true, but useProjects never sets _shared when merging shared projects.
Reproduction: Share a project with a user in another workspace; no Shared badge appears anywhere.
Root cause: Flag documented in a comment but not implemented.
Fix: In the merge loop set map.set(p.id,{...p,_shared:true}) for shared-only projects.
Where to see it: Projects page; topbar project picker
Risk of applying: Low — Pure client change. Recommendation: Proceed.
Files: src/hooks/useTasks.js:89-109 · src/components/AppShell.jsx:682 · src/components/ProjectsView.jsx:134</t>
  </si>
  <si>
    <t xml:space="preserve">1. Given a project reached only through project membership
2. When it is listed in the picker or Projects page
3. Then a Shared badge shows</t>
  </si>
  <si>
    <t>src/hooks/useTasks.js:89-109 · src/components/AppShell.jsx:682 · src/components/ProjectsView.jsx:134</t>
  </si>
  <si>
    <t xml:space="preserve">Accept an invite from another workspace, open Projects.
Run: npm test</t>
  </si>
  <si>
    <t>Projects page; topbar project picker</t>
  </si>
  <si>
    <t>T-0014</t>
  </si>
  <si>
    <t>BUG-007</t>
  </si>
  <si>
    <t>Export file dates use UTC, not the user's day — API/data layer</t>
  </si>
  <si>
    <t xml:space="preserve">CSV and JSON exports name files with new Date().toISOString().slice(0,10) (UTC). In Asia/Manila, exports made before 08:00 get yesterday's date, breaking the date-stamp requirement and the WBSView export which uses todayLocal().
Reproduction: At 07:00 local, click Export all CSV: filename shows the previous date.
Root cause: Mixed date helpers.
Fix: Use todayLocal() from services/firebase.js in every download name, and centralise in one downloadFile(name, blob) helper.
Where to see it: Activity Log → Export; Projects → Log → Download CSV; Settings → Export JSON; WBS modal
Risk of applying: Low — Four files, naming only. Recommendation: Proceed.
Scope of this row: server-side changes only (routes, validation, database, spec). Leave the UI for the next row.</t>
  </si>
  <si>
    <t xml:space="preserve">1. Given local time 07:00 on 2026-09-12
2. When any export runs
3. Then the filename ends with -2026-09-12.&lt;ext&gt;</t>
  </si>
  <si>
    <t>src/components/TableView.jsx:307 · src/components/ProjectsView.jsx:371 · src/components/SettingsView.jsx:807 · src/components/WbsModal.jsx:85</t>
  </si>
  <si>
    <t xml:space="preserve">Change system clock or mock Date; run each export.
Run: npm test</t>
  </si>
  <si>
    <t>Activity Log → Export; Projects → Log → Download CSV; Settings → Export JSON; WBS modal</t>
  </si>
  <si>
    <t>T-0015</t>
  </si>
  <si>
    <t>Export file dates use UTC, not the user's day — UI</t>
  </si>
  <si>
    <t xml:space="preserve">CSV and JSON exports name files with new Date().toISOString().slice(0,10) (UTC). In Asia/Manila, exports made before 08:00 get yesterday's date, breaking the date-stamp requirement and the WBSView export which uses todayLocal().
Reproduction: At 07:00 local, click Export all CSV: filename shows the previous date.
Root cause: Mixed date helpers.
Fix: Use todayLocal() from services/firebase.js in every download name, and centralise in one downloadFile(name, blob) helper.
Where to see it: Activity Log → Export; Projects → Log → Download CSV; Settings → Export JSON; WBS modal
Risk of applying: Low — Four files, naming only. Recommendation: Proceed.
Scope of this row: client-side changes (pages, components, styles) that use the API from T-0014. Plain-language inputs only.</t>
  </si>
  <si>
    <t>T-0016</t>
  </si>
  <si>
    <t>Export file dates use UTC, not the user's day — tests &amp; docs</t>
  </si>
  <si>
    <t>Add automated tests covering BUG-007 (API and, where possible, UI), update README.md/Implementation_plan.md status, append CHANGELOG.md.</t>
  </si>
  <si>
    <t>T-0014, T-0015</t>
  </si>
  <si>
    <t>T-0017</t>
  </si>
  <si>
    <t>BUG-008</t>
  </si>
  <si>
    <t>AI</t>
  </si>
  <si>
    <t>Bridge API mode is labelled as subscription billing — API/data layer</t>
  </si>
  <si>
    <t xml:space="preserve">detectProvider maps a bridge whose aiMode is 'api' to 'claude-code', so the AI brain panel says 'Thinking on your Claude subscription — no API billing' while the bridge is actually calling the Anthropic API per token. Separately, MyCompanyAiStatus tells users without a company that AI is unavailable, but isAiAllowedForUser() returns true for them and the local bridge works.
Reproduction: Run the bridge with ANTHROPIC_API_KEY and no claude CLI; open Settings → AI brain.
Root cause: Provider enum conflates transport (bridge) with billing model.
Fix: Introduce provider 'bridge-api' (or carry health.aiMode through) and label accordingly; make the non-admin card read useAiStatus() instead of companyId presence.
Where to see it: Settings → AI brain / AI access
Risk of applying: Low — Label logic only. Recommendation: Proceed.
Scope of this row: server-side changes only (routes, validation, database, spec). Leave the UI for the next row.</t>
  </si>
  <si>
    <t xml:space="preserve">1. Given the bridge is in api mode
2. When Settings loads
3. Then the headline says the Anthropic API is billed per token</t>
  </si>
  <si>
    <t>src/services/ai.js:163-171 · src/components/SettingsView.jsx:534-542 · src/components/SettingsView.jsx:1603-1614 · src/services/aiCredentials.js:66-69</t>
  </si>
  <si>
    <t xml:space="preserve">Start bridge with only an API key; check badge and headline.
Run: npm test</t>
  </si>
  <si>
    <t>Settings → AI brain / AI access</t>
  </si>
  <si>
    <t>T-0018</t>
  </si>
  <si>
    <t>Bridge API mode is labelled as subscription billing — UI</t>
  </si>
  <si>
    <t xml:space="preserve">detectProvider maps a bridge whose aiMode is 'api' to 'claude-code', so the AI brain panel says 'Thinking on your Claude subscription — no API billing' while the bridge is actually calling the Anthropic API per token. Separately, MyCompanyAiStatus tells users without a company that AI is unavailable, but isAiAllowedForUser() returns true for them and the local bridge works.
Reproduction: Run the bridge with ANTHROPIC_API_KEY and no claude CLI; open Settings → AI brain.
Root cause: Provider enum conflates transport (bridge) with billing model.
Fix: Introduce provider 'bridge-api' (or carry health.aiMode through) and label accordingly; make the non-admin card read useAiStatus() instead of companyId presence.
Where to see it: Settings → AI brain / AI access
Risk of applying: Low — Label logic only. Recommendation: Proceed.
Scope of this row: client-side changes (pages, components, styles) that use the API from T-0017. Plain-language inputs only.</t>
  </si>
  <si>
    <t>T-0019</t>
  </si>
  <si>
    <t>Bridge API mode is labelled as subscription billing — tests &amp; docs</t>
  </si>
  <si>
    <t>Add automated tests covering BUG-008 (API and, where possible, UI), update README.md/Implementation_plan.md status, append CHANGELOG.md.</t>
  </si>
  <si>
    <t>T-0017, T-0018</t>
  </si>
  <si>
    <t>T-0020</t>
  </si>
  <si>
    <t>BUG-011</t>
  </si>
  <si>
    <t>Sidebar user block polls auth every 500 ms</t>
  </si>
  <si>
    <t xml:space="preserve">SidebarUserBlock sets a 500 ms interval to compare auth.currentUser instead of subscribing with onAuthStateChanged, causing constant timers and re-renders.
Reproduction: Open Performance tab; a timer fires twice per second forever.
Root cause: Polling instead of the existing onAuthChange helper.
Fix: Use onAuthChange(setUser) in the effect.
Where to see it: Sidebar footer
Risk of applying: Low — One component. Recommendation: Proceed.
Files: src/components/AppShell.jsx:372-381</t>
  </si>
  <si>
    <t xml:space="preserve">1. Given the app is idle
2. When profiling
3. Then no periodic auth polling timer exists</t>
  </si>
  <si>
    <t>src/components/AppShell.jsx:372-381</t>
  </si>
  <si>
    <t xml:space="preserve">Check that avatar/name still update after sign-in.
Run: npm test</t>
  </si>
  <si>
    <t>Sidebar footer</t>
  </si>
  <si>
    <t>T-0021</t>
  </si>
  <si>
    <t>IMP-006</t>
  </si>
  <si>
    <t>Docs</t>
  </si>
  <si>
    <t>Docs are stale and there is no root README — API/data layer</t>
  </si>
  <si>
    <t xml:space="preserve">No README.md exists at the repo root (CLAUDE.md and the bridge refer to one). docs/BUILD-GUIDE.md and package-scripts.md describe anonymous auth, GitHub Pages and a /task-monitor/ base path that no longer apply; CLAUDE.md lists Google sign-in and multi-user as out of scope though both exist; Settings → Webhooks references a FEATURE_ROADMAP.md that does not exist.
Reproduction: Follow BUILD-GUIDE Phase 7 rules or Phase 12 deploy: they conflict with firestore.rules and firebase.json.
Root cause: Docs not updated across the workspace/auth/hosting migrations.
Fix: Write README.md (install, .env, npm start, bridge, deploy, tests), delete or archive the two docs, refresh CLAUDE.md sections Architecture/Out of scope, remove the roadmap reference.
Where to see it: Repository
Risk of applying: Low — Docs only. Recommendation: Proceed.
Scope of this row: server-side changes only (routes, validation, database, spec). Leave the UI for the next row.</t>
  </si>
  <si>
    <t xml:space="preserve">1. Given a new developer
2. When they follow README.md
3. Then the app runs locally with sign-in in under 15 minutes</t>
  </si>
  <si>
    <t>docs/BUILD-GUIDE.md · docs/package-scripts.md · CLAUDE.md:234-243 · src/components/SettingsView.jsx:827-831</t>
  </si>
  <si>
    <t xml:space="preserve">Dry-run the README on a clean clone.
Run: npm test</t>
  </si>
  <si>
    <t>Repository</t>
  </si>
  <si>
    <t>T-0022</t>
  </si>
  <si>
    <t>Docs are stale and there is no root README — UI</t>
  </si>
  <si>
    <t xml:space="preserve">No README.md exists at the repo root (CLAUDE.md and the bridge refer to one). docs/BUILD-GUIDE.md and package-scripts.md describe anonymous auth, GitHub Pages and a /task-monitor/ base path that no longer apply; CLAUDE.md lists Google sign-in and multi-user as out of scope though both exist; Settings → Webhooks references a FEATURE_ROADMAP.md that does not exist.
Reproduction: Follow BUILD-GUIDE Phase 7 rules or Phase 12 deploy: they conflict with firestore.rules and firebase.json.
Root cause: Docs not updated across the workspace/auth/hosting migrations.
Fix: Write README.md (install, .env, npm start, bridge, deploy, tests), delete or archive the two docs, refresh CLAUDE.md sections Architecture/Out of scope, remove the roadmap reference.
Where to see it: Repository
Risk of applying: Low — Docs only. Recommendation: Proceed.
Scope of this row: client-side changes (pages, components, styles) that use the API from T-0021. Plain-language inputs only.</t>
  </si>
  <si>
    <t>T-0023</t>
  </si>
  <si>
    <t>Docs are stale and there is no root README — tests &amp; docs</t>
  </si>
  <si>
    <t>Add automated tests covering IMP-006 (API and, where possible, UI), update README.md/Implementation_plan.md status, append CHANGELOG.md.</t>
  </si>
  <si>
    <t>T-0021, T-0022</t>
  </si>
  <si>
    <t>T-0024</t>
  </si>
  <si>
    <t>IMP-007</t>
  </si>
  <si>
    <t>Local run needs two commands and hidden Firebase config</t>
  </si>
  <si>
    <t xml:space="preserve">Running locally requires copying .env.example, then npm run dev AND npm run bridge in separate terminals; without .env the app crashes inside Firebase init with no readable message. The standing requirement is one install and one run command.
Reproduction: Fresh clone, npm install, npm run dev → console error auth/invalid-api-key and a blank page.
Root cause: No combined start script and no config guard.
Fix: Add npm start = concurrently 'vite' 'node bridge/server.mjs' (or a tiny node launcher), and in firebase.js detect a missing VITE_FIREBASE_PROJECT_ID and render a setup screen listing the six variables.
Where to see it: Local dev
Risk of applying: Low — Adds one devDependency (concurrently) or a script. Recommendation: Proceed.
Files: package.json:6-18 · src/services/firebase.js:47-56 · .env.example</t>
  </si>
  <si>
    <t xml:space="preserve">1. Given a clone with no .env
2. When npm start runs
3. Then the browser shows a setup page naming the missing variables instead of a blank page</t>
  </si>
  <si>
    <t>package.json:6-18 · src/services/firebase.js:47-56 · .env.example</t>
  </si>
  <si>
    <t xml:space="preserve">Remove .env and start; then add it and confirm normal boot.
Run: npm test</t>
  </si>
  <si>
    <t>Local dev</t>
  </si>
  <si>
    <t>T-0025</t>
  </si>
  <si>
    <t>IMP-009</t>
  </si>
  <si>
    <t>Overdue notification memory grows forever</t>
  </si>
  <si>
    <t xml:space="preserve">useOverdueScan stores every shown task|date key in localStorage and never prunes; on long-lived devices this list grows unbounded and is scanned on every 5-minute tick.
Reproduction: Inspect localStorage task-monitor.notif.shown.v1 after months of use.
Root cause: No pruning.
Fix: Prune keys whose date is older than 30 days on load (mirroring loadAlertState).
Where to see it: Browser notifications
Risk of applying: Low — Local storage only. Recommendation: Proceed.
Files: src/hooks/useNotifications.js:42-48 · src/hooks/useNotifications.js:95-105</t>
  </si>
  <si>
    <t xml:space="preserve">1. Given shown keys older than 30 days
2. When the scan runs
3. Then they are dropped</t>
  </si>
  <si>
    <t>src/hooks/useNotifications.js:42-48 · src/hooks/useNotifications.js:95-105</t>
  </si>
  <si>
    <t xml:space="preserve">Seed old keys; run scan; inspect storage.
Run: npm test</t>
  </si>
  <si>
    <t>Browser notifications</t>
  </si>
  <si>
    <t>T-0026</t>
  </si>
  <si>
    <t>POL-003</t>
  </si>
  <si>
    <t>Polish</t>
  </si>
  <si>
    <t>CLI install instructions shown to every user — API/data layer</t>
  </si>
  <si>
    <t xml:space="preserve">KnowledgeSection (rendered for all roles) and the not-available hints show shell commands like pipx install notebooklm-py, npm i -g @anthropic-ai/claude-code and a Bridge URL. The knowledge base and bridge are operator-only concepts; regular users should see plain-language status, not code.
Reproduction: Sign in as a non-superadmin, open Settings → Knowledge base.
Root cause: Section not gated on role.
Fix: Render KnowledgeSection only for superadmins (or when bridgeOk); for others show 'Knowledge base: managed by your admin' with no commands.
Where to see it: Settings → Knowledge base
Risk of applying: Low — Conditional render. Recommendation: Proceed.
Scope of this row: server-side changes only (routes, validation, database, spec). Leave the UI for the next row.</t>
  </si>
  <si>
    <t xml:space="preserve">1. Given a regular user
2. When they open Settings
3. Then no shell commands or URLs are displayed</t>
  </si>
  <si>
    <t>src/components/SettingsView.jsx:406 · src/components/KnowledgeSection.jsx:42 · bridge/notebooklm.mjs:43-55 · src/services/knowledge.js:19-24</t>
  </si>
  <si>
    <t xml:space="preserve">Check Settings with a user role account.
Run: npm test</t>
  </si>
  <si>
    <t>Settings → Knowledge base</t>
  </si>
  <si>
    <t>T-0027</t>
  </si>
  <si>
    <t>CLI install instructions shown to every user — UI</t>
  </si>
  <si>
    <t xml:space="preserve">KnowledgeSection (rendered for all roles) and the not-available hints show shell commands like pipx install notebooklm-py, npm i -g @anthropic-ai/claude-code and a Bridge URL. The knowledge base and bridge are operator-only concepts; regular users should see plain-language status, not code.
Reproduction: Sign in as a non-superadmin, open Settings → Knowledge base.
Root cause: Section not gated on role.
Fix: Render KnowledgeSection only for superadmins (or when bridgeOk); for others show 'Knowledge base: managed by your admin' with no commands.
Where to see it: Settings → Knowledge base
Risk of applying: Low — Conditional render. Recommendation: Proceed.
Scope of this row: client-side changes (pages, components, styles) that use the API from T-0026. Plain-language inputs only.</t>
  </si>
  <si>
    <t>T-0028</t>
  </si>
  <si>
    <t>CLI install instructions shown to every user — tests &amp; docs</t>
  </si>
  <si>
    <t>Add automated tests covering POL-003 (API and, where possible, UI), update README.md/Implementation_plan.md status, append CHANGELOG.md.</t>
  </si>
  <si>
    <t>T-0026, T-0027</t>
  </si>
  <si>
    <t>T-0029</t>
  </si>
  <si>
    <t>POL-004</t>
  </si>
  <si>
    <t>Stale copy: anonymous session, email notification promise — API/data layer</t>
  </si>
  <si>
    <t xml:space="preserve">Settings says 'Anonymous session &lt;uid&gt;' although anonymous auth was removed; PendingApprovalView and LandingView promise 'we'll notify you by email when approved' but no email is ever sent; Settings subtitle says preferences are per-device while the page also manages workspaces, users and companies.
Reproduction: Read the texts on those screens.
Root cause: Copy not updated after auth changes.
Fix: Rewrite to 'Signed in as &lt;email&gt;'; change the approval copy to 'Check back later or ask an admin' or implement an approval email via a Cloud Function trigger on users status change.
Where to see it: Settings → Your data; Waiting for approval; Sign in
Risk of applying: Low — Copy only. Recommendation: Proceed.
Scope of this row: server-side changes only (routes, validation, database, spec). Leave the UI for the next row.</t>
  </si>
  <si>
    <t xml:space="preserve">1. Given the pending screen
2. When read
3. Then it makes no promise the system does not keep</t>
  </si>
  <si>
    <t>src/components/SettingsView.jsx:384-387 · src/components/PendingApprovalView.jsx:62-65 · src/components/LandingView.jsx:62-65 · src/components/SettingsView.jsx:228</t>
  </si>
  <si>
    <t xml:space="preserve">Visual review.
Run: npm test</t>
  </si>
  <si>
    <t>Settings → Your data; Waiting for approval; Sign in</t>
  </si>
  <si>
    <t>T-0030</t>
  </si>
  <si>
    <t>Stale copy: anonymous session, email notification promise — UI</t>
  </si>
  <si>
    <t xml:space="preserve">Settings says 'Anonymous session &lt;uid&gt;' although anonymous auth was removed; PendingApprovalView and LandingView promise 'we'll notify you by email when approved' but no email is ever sent; Settings subtitle says preferences are per-device while the page also manages workspaces, users and companies.
Reproduction: Read the texts on those screens.
Root cause: Copy not updated after auth changes.
Fix: Rewrite to 'Signed in as &lt;email&gt;'; change the approval copy to 'Check back later or ask an admin' or implement an approval email via a Cloud Function trigger on users status change.
Where to see it: Settings → Your data; Waiting for approval; Sign in
Risk of applying: Low — Copy only. Recommendation: Proceed.
Scope of this row: client-side changes (pages, components, styles) that use the API from T-0029. Plain-language inputs only.</t>
  </si>
  <si>
    <t>T-0031</t>
  </si>
  <si>
    <t>Stale copy: anonymous session, email notification promise — tests &amp; docs</t>
  </si>
  <si>
    <t>Add automated tests covering POL-004 (API and, where possible, UI), update README.md/Implementation_plan.md status, append CHANGELOG.md.</t>
  </si>
  <si>
    <t>T-0029, T-0030</t>
  </si>
  <si>
    <t>T-0032</t>
  </si>
  <si>
    <t>POL-005</t>
  </si>
  <si>
    <t>Package version and deploy account hardcoded</t>
  </si>
  <si>
    <t xml:space="preserve">package.json version is 0.0.0 while the product is at v0.1; the deploy script hardcodes a personal Gmail account, and the topbar has no version/about indicator for support.
Reproduction: npm run deploy on another machine fails on the account flag.
Root cause: Scripts written for one operator.
Fix: Set version 0.1.0, read the account from an env var (FIREBASE_ACCOUNT) and show the version in Settings → About.
Where to see it: Settings → About
Risk of applying: Low — Scripts only. Recommendation: Proceed.
Files: package.json:5 · package.json:14-17</t>
  </si>
  <si>
    <t xml:space="preserve">1. Given Settings → About
2. When opened
3. Then it shows v0.2.0 matching package.json</t>
  </si>
  <si>
    <t>package.json:5 · package.json:14-17</t>
  </si>
  <si>
    <t xml:space="preserve">Check about section; run deploy with the env var.
Run: npm test</t>
  </si>
  <si>
    <t>Settings → About</t>
  </si>
  <si>
    <t>T-0033</t>
  </si>
  <si>
    <t>BUG-010</t>
  </si>
  <si>
    <t>v0.3</t>
  </si>
  <si>
    <t>Board cards each open their own workspace listeners</t>
  </si>
  <si>
    <t xml:space="preserve">AssigneeBadges (rendered per card) calls useWorkspaces(), which registers an auth listener, a workspaces onSnapshot and the migration check for every card; each expanded card's useActivities subscribes to the entire workspace activities collection (up to 500 docs) and filters client-side. With 200 cards this means hundreds of listeners and repeated sorting on each snapshot.
Reproduction: Open Kanban with 150+ tasks and watch React profiler / Firestore listener count.
Root cause: Hooks are used as data sources inside list items; no shared store.
Fix: Lift workspace/memberProfiles into a context provided once by AppShell; pass memberProfiles down to cards; make useActivities(taskId) derive from the single useAllActivities subscription.
Where to see it: Kanban
Risk of applying: Medium — Touches shared hooks used by many views. Recommendation: Proceed.
Files: src/components/Board.jsx:638-643 · src/hooks/useWorkspace.js:64-110 · src/hooks/useTasks.js:209-233</t>
  </si>
  <si>
    <t xml:space="preserve">1. Given 200 tasks on the Board
2. When the view renders
3. Then only one workspaces listener and one activities listener exist</t>
  </si>
  <si>
    <t>src/components/Board.jsx:638-643 · src/hooks/useWorkspace.js:64-110 · src/hooks/useTasks.js:209-233</t>
  </si>
  <si>
    <t xml:space="preserve">Count onSnapshot registrations via a debug counter in firebase.js; profile render time before/after.
Run: npm test</t>
  </si>
  <si>
    <t>Kanban</t>
  </si>
  <si>
    <t>Medium</t>
  </si>
  <si>
    <t>T-0034</t>
  </si>
  <si>
    <t>IMP-001</t>
  </si>
  <si>
    <t>Company Anthropic key is shipped to every member's browser — API/data layer</t>
  </si>
  <si>
    <t xml:space="preserve">AI calls in 'api' mode run directly from the browser with the company key and the anthropic-dangerous-direct-browser-access header. Any member can read the key from Network tab or the company doc and use it outside the app; budgets cannot be enforced.
Reproduction: As a company member open DevTools → Network while pressing Plan my day; the x-api-key header is visible.
Root cause: No backend; key distributed via Firestore to clients.
Fix: Add a Cloud Function (or Firebase callable) proxy that holds the key server-side, checks the caller's users doc (approved + companyId + aiEnabled) and forwards to Anthropic; client calls the function instead of api.anthropic.com. Keep the local bridge path for the operator.
Where to see it: Settings → AI access / any ✨ button
Risk of applying: High — Introduces a backend dependency and billing; rules for companies read change. Recommendation: On-Hold.
Scope of this row: server-side changes only (routes, validation, database, spec). Leave the UI for the next row.</t>
  </si>
  <si>
    <t xml:space="preserve">1. Given a company member
2. When they use any AI feature
3. Then no API key is present in the browser or Firestore client reads</t>
  </si>
  <si>
    <t>src/services/ai.js:253-293 · src/services/aiCredentials.js:71-76 · src/hooks/useCompany.js:37-48</t>
  </si>
  <si>
    <t>L</t>
  </si>
  <si>
    <t xml:space="preserve">After migration, grep the bundle and Network tab for 'x-api-key'; verify AI still works for a member.
Run: npm test</t>
  </si>
  <si>
    <t>Settings → AI access / any ✨ button</t>
  </si>
  <si>
    <t>T-0035</t>
  </si>
  <si>
    <t>Company Anthropic key is shipped to every member's browser — UI</t>
  </si>
  <si>
    <t xml:space="preserve">AI calls in 'api' mode run directly from the browser with the company key and the anthropic-dangerous-direct-browser-access header. Any member can read the key from Network tab or the company doc and use it outside the app; budgets cannot be enforced.
Reproduction: As a company member open DevTools → Network while pressing Plan my day; the x-api-key header is visible.
Root cause: No backend; key distributed via Firestore to clients.
Fix: Add a Cloud Function (or Firebase callable) proxy that holds the key server-side, checks the caller's users doc (approved + companyId + aiEnabled) and forwards to Anthropic; client calls the function instead of api.anthropic.com. Keep the local bridge path for the operator.
Where to see it: Settings → AI access / any ✨ button
Risk of applying: High — Introduces a backend dependency and billing; rules for companies read change. Recommendation: On-Hold.
Scope of this row: client-side changes (pages, components, styles) that use the API from T-0034. Plain-language inputs only.</t>
  </si>
  <si>
    <t>T-0036</t>
  </si>
  <si>
    <t>Company Anthropic key is shipped to every member's browser — tests &amp; docs</t>
  </si>
  <si>
    <t>Add automated tests covering IMP-001 (API and, where possible, UI), update README.md/Implementation_plan.md status, append CHANGELOG.md.</t>
  </si>
  <si>
    <t>T-0034, T-0035</t>
  </si>
  <si>
    <t>T-0037</t>
  </si>
  <si>
    <t>IMP-003</t>
  </si>
  <si>
    <t>Whole-collection subscriptions will not scale — API/data layer</t>
  </si>
  <si>
    <t xml:space="preserve">Every list (tasks, activities, minutes, goals) is fetched with a single equality filter and sorted/filtered in the browser; subscribeToAllActivities reads every activity then slices 500. No firestore.indexes.json exists. Cost and memory grow linearly with workspace history, and Analytics/Review re-read everything on every change.
Reproduction: Import 5,000 activities via CSV; open Activity Log and Dashboard and observe read counts and lag.
Root cause: Avoiding composite indexes by design; no pagination.
Fix: Add firestore.indexes.json (workspaceId+date desc, workspaceId+status, taskId+date), use orderBy/limit with cursor pagination in Table and Work Performed, and keep Dashboard on a 30-day window query.
Where to see it: Activity Log; Dashboard; Analytics
Risk of applying: Medium — Requires index deploy and changes to shared subscription API. Recommendation: Proceed.
Scope of this row: server-side changes only (routes, validation, database, spec). Leave the UI for the next row.</t>
  </si>
  <si>
    <t xml:space="preserve">1. Given a workspace with 10,000 activities
2. When Activity Log opens
3. Then only the first page (e.g. 200 rows) is read and Load more fetches the next</t>
  </si>
  <si>
    <t>src/services/firebase.js:1129-1148 · src/services/firebase.js:1279-1302 · firebase.json</t>
  </si>
  <si>
    <t xml:space="preserve">Seed data in the emulator; watch reads in the Firestore usage tab.
Run: npm test</t>
  </si>
  <si>
    <t>Activity Log; Dashboard; Analytics</t>
  </si>
  <si>
    <t>T-0038</t>
  </si>
  <si>
    <t>Whole-collection subscriptions will not scale — UI</t>
  </si>
  <si>
    <t xml:space="preserve">Every list (tasks, activities, minutes, goals) is fetched with a single equality filter and sorted/filtered in the browser; subscribeToAllActivities reads every activity then slices 500. No firestore.indexes.json exists. Cost and memory grow linearly with workspace history, and Analytics/Review re-read everything on every change.
Reproduction: Import 5,000 activities via CSV; open Activity Log and Dashboard and observe read counts and lag.
Root cause: Avoiding composite indexes by design; no pagination.
Fix: Add firestore.indexes.json (workspaceId+date desc, workspaceId+status, taskId+date), use orderBy/limit with cursor pagination in Table and Work Performed, and keep Dashboard on a 30-day window query.
Where to see it: Activity Log; Dashboard; Analytics
Risk of applying: Medium — Requires index deploy and changes to shared subscription API. Recommendation: Proceed.
Scope of this row: client-side changes (pages, components, styles) that use the API from T-0037. Plain-language inputs only.</t>
  </si>
  <si>
    <t>T-0039</t>
  </si>
  <si>
    <t>Whole-collection subscriptions will not scale — tests &amp; docs</t>
  </si>
  <si>
    <t>Add automated tests covering IMP-003 (API and, where possible, UI), update README.md/Implementation_plan.md status, append CHANGELOG.md.</t>
  </si>
  <si>
    <t>T-0037, T-0038</t>
  </si>
  <si>
    <t>T-0040</t>
  </si>
  <si>
    <t>MISS-001</t>
  </si>
  <si>
    <t>Missing feature</t>
  </si>
  <si>
    <t>Members are added by raw Firebase UID, not email — API/data layer</t>
  </si>
  <si>
    <t xml:space="preserve">Workspace members and project sharing require pasting an Account ID (Firebase UID). The Sharing panel lists members as truncated UIDs, and the workspace doc has a pendingInvites field that is never used. Non-technical users are shown opaque identifiers.
Reproduction: Settings → Workspaces → Members → Add member by Account ID.
Root cause: No server-side email→uid lookup.
Fix: Add a Cloud Function inviteByEmail that resolves users by email (or writes pendingInvites and auto-joins on next sign-in via ensureUserProfile), show names/emails instead of UIDs, and keep UID entry under an Advanced toggle for superadmins only.
Where to see it: Settings → Workspaces → Members; Project editor → Sharing
Risk of applying: High — Touches ACL writes and rules for pendingInvites. Recommendation: On-Hold.
Scope of this row: server-side changes only (routes, validation, database, spec). Leave the UI for the next row.</t>
  </si>
  <si>
    <t xml:space="preserve">1. Given a workspace admin
2. When they type a teammate's email and role
3. Then the teammate is added (or pending) and appears by name</t>
  </si>
  <si>
    <t>src/components/SettingsView.jsx:1116-1137 · src/components/ProjectsView.jsx:626-650 · src/components/ProjectsView.jsx:730-751 · src/services/firebase.js:386-402</t>
  </si>
  <si>
    <t xml:space="preserve">Invite an existing and a not-yet-signed-in email; verify both paths.
Run: npm test</t>
  </si>
  <si>
    <t>Settings → Workspaces → Members; Project editor → Sharing</t>
  </si>
  <si>
    <t>T-0041</t>
  </si>
  <si>
    <t>Members are added by raw Firebase UID, not email — UI</t>
  </si>
  <si>
    <t xml:space="preserve">Workspace members and project sharing require pasting an Account ID (Firebase UID). The Sharing panel lists members as truncated UIDs, and the workspace doc has a pendingInvites field that is never used. Non-technical users are shown opaque identifiers.
Reproduction: Settings → Workspaces → Members → Add member by Account ID.
Root cause: No server-side email→uid lookup.
Fix: Add a Cloud Function inviteByEmail that resolves users by email (or writes pendingInvites and auto-joins on next sign-in via ensureUserProfile), show names/emails instead of UIDs, and keep UID entry under an Advanced toggle for superadmins only.
Where to see it: Settings → Workspaces → Members; Project editor → Sharing
Risk of applying: High — Touches ACL writes and rules for pendingInvites. Recommendation: On-Hold.
Scope of this row: client-side changes (pages, components, styles) that use the API from T-0040. Plain-language inputs only.</t>
  </si>
  <si>
    <t>T-0042</t>
  </si>
  <si>
    <t>Members are added by raw Firebase UID, not email — tests &amp; docs</t>
  </si>
  <si>
    <t>Add automated tests covering MISS-001 (API and, where possible, UI), update README.md/Implementation_plan.md status, append CHANGELOG.md.</t>
  </si>
  <si>
    <t>T-0040, T-0041</t>
  </si>
  <si>
    <t>T-0043</t>
  </si>
  <si>
    <t>MISS-002</t>
  </si>
  <si>
    <t>API</t>
  </si>
  <si>
    <t>Webhooks are stored but never delivered — API/data layer</t>
  </si>
  <si>
    <t xml:space="preserve">Settings → Webhooks lets users create webhooks with events and secrets, but nothing ever sends an HTTP request; the copy admits delivery 'requires a Cloud Function'. This is dead UI that promises integrations (Slack, Make) that do not happen.
Reproduction: Create a webhook to a request-bin URL, complete a task: nothing arrives.
Root cause: No backend trigger.
Fix: Either hide the section behind a feature flag until built, or add a Firestore-triggered Cloud Function that POSTs {event, task, workspace} with HMAC signature and a delivery log shown in the UI.
Where to see it: Settings → Webhooks
Risk of applying: High — New backend with outbound HTTP; secrets storage. Recommendation: On-Hold.
Scope of this row: server-side changes only (routes, validation, database, spec). Leave the UI for the next row.</t>
  </si>
  <si>
    <t xml:space="preserve">1. Given an enabled webhook for task.completed
2. When a task is marked done
3. Then the URL receives a signed POST within 10 s and the log shows 200</t>
  </si>
  <si>
    <t>src/components/SettingsView.jsx:820-869 · src/services/firebase.js:1941-1978</t>
  </si>
  <si>
    <t xml:space="preserve">Use a request bin; verify signature with the secret.
Run: npm test</t>
  </si>
  <si>
    <t>Settings → Webhooks</t>
  </si>
  <si>
    <t>T-0044</t>
  </si>
  <si>
    <t>Webhooks are stored but never delivered — UI</t>
  </si>
  <si>
    <t xml:space="preserve">Settings → Webhooks lets users create webhooks with events and secrets, but nothing ever sends an HTTP request; the copy admits delivery 'requires a Cloud Function'. This is dead UI that promises integrations (Slack, Make) that do not happen.
Reproduction: Create a webhook to a request-bin URL, complete a task: nothing arrives.
Root cause: No backend trigger.
Fix: Either hide the section behind a feature flag until built, or add a Firestore-triggered Cloud Function that POSTs {event, task, workspace} with HMAC signature and a delivery log shown in the UI.
Where to see it: Settings → Webhooks
Risk of applying: High — New backend with outbound HTTP; secrets storage. Recommendation: On-Hold.
Scope of this row: client-side changes (pages, components, styles) that use the API from T-0043. Plain-language inputs only.</t>
  </si>
  <si>
    <t>T-0045</t>
  </si>
  <si>
    <t>Webhooks are stored but never delivered — tests &amp; docs</t>
  </si>
  <si>
    <t>Add automated tests covering MISS-002 (API and, where possible, UI), update README.md/Implementation_plan.md status, append CHANGELOG.md.</t>
  </si>
  <si>
    <t>T-0043, T-0044</t>
  </si>
  <si>
    <t>T-0046</t>
  </si>
  <si>
    <t>MISS-003</t>
  </si>
  <si>
    <t>No Word, Excel, PDF or Markdown exports — API/data layer</t>
  </si>
  <si>
    <t xml:space="preserve">The only deliverables are CSV (activities, WBS) and a developer JSON dump. Review summaries, status updates, minutes, goals and task lists cannot be saved as .docx/.xlsx/.pdf/.md, which Notion, Airtable and Monday all offer.
Reproduction: Review → Summarize this period: only Copy is offered.
Root cause: No export layer.
Fix: Add src/services/exporters.js using docx, exceljs/xlsx and jspdf (dynamic imports) with a shared downloadFile(name-YYYY-MM-DD.ext); wire: Tasks/Projects → xlsx; Review/AI outputs → docx/md/pdf; Minutes → docx/pdf; Goals → pdf.
Where to see it: Review; Minutes; Goals; Activity Log; Projects
Risk of applying: Medium — Adds dependencies to the bundle; use lazy imports. Recommendation: Proceed.
Scope of this row: server-side changes only (routes, validation, database, spec). Leave the UI for the next row.</t>
  </si>
  <si>
    <t xml:space="preserve">1. Given a Review summary
2. When Download .docx is clicked
3. Then a file named review-summary-YYYY-MM-DD.docx opens in Word with headings and bullets</t>
  </si>
  <si>
    <t>src/components/SettingsView.jsx:792-810 · src/components/ReviewView.jsx:310-316 · src/components/MinutesView.jsx · src/components/GoalsView.jsx</t>
  </si>
  <si>
    <t xml:space="preserve">Export each format and open in Word/Excel/Preview.
Run: npm test</t>
  </si>
  <si>
    <t>Review; Minutes; Goals; Activity Log; Projects</t>
  </si>
  <si>
    <t>T-0047</t>
  </si>
  <si>
    <t>No Word, Excel, PDF or Markdown exports — UI</t>
  </si>
  <si>
    <t xml:space="preserve">The only deliverables are CSV (activities, WBS) and a developer JSON dump. Review summaries, status updates, minutes, goals and task lists cannot be saved as .docx/.xlsx/.pdf/.md, which Notion, Airtable and Monday all offer.
Reproduction: Review → Summarize this period: only Copy is offered.
Root cause: No export layer.
Fix: Add src/services/exporters.js using docx, exceljs/xlsx and jspdf (dynamic imports) with a shared downloadFile(name-YYYY-MM-DD.ext); wire: Tasks/Projects → xlsx; Review/AI outputs → docx/md/pdf; Minutes → docx/pdf; Goals → pdf.
Where to see it: Review; Minutes; Goals; Activity Log; Projects
Risk of applying: Medium — Adds dependencies to the bundle; use lazy imports. Recommendation: Proceed.
Scope of this row: client-side changes (pages, components, styles) that use the API from T-0046. Plain-language inputs only.</t>
  </si>
  <si>
    <t>T-0048</t>
  </si>
  <si>
    <t>No Word, Excel, PDF or Markdown exports — tests &amp; docs</t>
  </si>
  <si>
    <t>Add automated tests covering MISS-003 (API and, where possible, UI), update README.md/Implementation_plan.md status, append CHANGELOG.md.</t>
  </si>
  <si>
    <t>T-0046, T-0047</t>
  </si>
  <si>
    <t>T-0049</t>
  </si>
  <si>
    <t>NEW-001</t>
  </si>
  <si>
    <t>New feature</t>
  </si>
  <si>
    <t>Configurable table views with columns, group and sort — API/data layer</t>
  </si>
  <si>
    <t xml:space="preserve">Airtable and Notion let every saved view carry its own visible columns, grouping and sort. Saved views here only store project/tag/status. For 'anyone with a process to run', a Table of tasks (not just activities) with per-view columns is the core reporting surface.
Reproduction: n/a (new feature)
Root cause: n/a
Fix: Add a Tasks table view with column picker, group-by (project/phase/assignee/status) and persist {columns, groupBy, sort} on savedViews.
Where to see it: Reports → Tasks table (new)
Risk of applying: Medium — Extends savedViews schema (additive). Recommendation: Proceed.
Scope of this row: server-side changes only (routes, validation, database, spec). Leave the UI for the next row.</t>
  </si>
  <si>
    <t xml:space="preserve">1. Given a saved view
2. When reopened
3. Then the same columns, grouping and sort are restored</t>
  </si>
  <si>
    <t>src/services/firebase.js:1854-1903 · src/components/TableView.jsx</t>
  </si>
  <si>
    <t xml:space="preserve">Create two views with different columns; switch between them.
Run: npm test</t>
  </si>
  <si>
    <t>Reports → Tasks table (new)</t>
  </si>
  <si>
    <t>T-0050</t>
  </si>
  <si>
    <t>Configurable table views with columns, group and sort — UI</t>
  </si>
  <si>
    <t xml:space="preserve">Airtable and Notion let every saved view carry its own visible columns, grouping and sort. Saved views here only store project/tag/status. For 'anyone with a process to run', a Table of tasks (not just activities) with per-view columns is the core reporting surface.
Reproduction: n/a (new feature)
Root cause: n/a
Fix: Add a Tasks table view with column picker, group-by (project/phase/assignee/status) and persist {columns, groupBy, sort} on savedViews.
Where to see it: Reports → Tasks table (new)
Risk of applying: Medium — Extends savedViews schema (additive). Recommendation: Proceed.
Scope of this row: client-side changes (pages, components, styles) that use the API from T-0049. Plain-language inputs only.</t>
  </si>
  <si>
    <t>T-0051</t>
  </si>
  <si>
    <t>Configurable table views with columns, group and sort — tests &amp; docs</t>
  </si>
  <si>
    <t>Add automated tests covering NEW-001 (API and, where possible, UI), update README.md/Implementation_plan.md status, append CHANGELOG.md.</t>
  </si>
  <si>
    <t>T-0049, T-0050</t>
  </si>
  <si>
    <t>T-0052</t>
  </si>
  <si>
    <t>BUG-009</t>
  </si>
  <si>
    <t>Long notebook text sources fail on argv size</t>
  </si>
  <si>
    <t xml:space="preserve">addSourceText passes the whole body as a command-line argument; saving a long AI answer to the notebook (Ask AI → Save to notebook, Due alert → ＋ Notebook) can exceed ARG_MAX and fail with a confusing error, while askNotebook already streams long prompts over stdin.
Reproduction: Generate a very long answer (&gt;100 KB) and click Save to notebook.
Root cause: Inline positional text instead of --prompt-file style stdin.
Fix: Write the text to a temp file (or stdin if the CLI supports it for source add) when body.length &gt; STDIN_THRESHOLD; cover with a fixture test.
Where to see it: Ask AI → answer → Save to notebook
Risk of applying: Low — Bridge only; tested by fixtures. Recommendation: Proceed.
Files: bridge/notebooklm.mjs:357-368 · bridge/notebooklm.mjs:404-424</t>
  </si>
  <si>
    <t xml:space="preserve">1. Given a 200 KB answer
2. When it is saved to a notebook
3. Then the source is added and the UI shows In notebook</t>
  </si>
  <si>
    <t>bridge/notebooklm.mjs:357-368 · bridge/notebooklm.mjs:404-424</t>
  </si>
  <si>
    <t xml:space="preserve">Extend bridge/notebooklm.test.mjs with a fixture echoing argv length.
Run: npm test</t>
  </si>
  <si>
    <t>Ask AI → answer → Save to notebook</t>
  </si>
  <si>
    <t>T-0053</t>
  </si>
  <si>
    <t>MISS-004</t>
  </si>
  <si>
    <t>Minutes cannot be exported or shared</t>
  </si>
  <si>
    <t xml:space="preserve">Meeting minutes with attendees, decisions and action items are a classic deliverable but have no print/export/share action; users must screenshot.
Reproduction: Open Minutes → any card: no Export or Print.
Root cause: Feature not built.
Fix: Add Download .docx / .pdf and Copy as Markdown per minute (filename minutes-&lt;title&gt;-YYYY-MM-DD), plus window.print stylesheet for a clean printout.
Where to see it: Minutes → minute card
Risk of applying: Low — Depends on the exporter service. Recommendation: Proceed.
Files: src/components/MinutesView.jsx:110-209</t>
  </si>
  <si>
    <t xml:space="preserve">1. Given a minute
2. When Download .docx is clicked
3. Then a document with title, date, attendees, notes, decisions and action items downloads</t>
  </si>
  <si>
    <t>src/components/MinutesView.jsx:110-209</t>
  </si>
  <si>
    <t xml:space="preserve">Export a minute with action items; open in Word.
Run: npm test</t>
  </si>
  <si>
    <t>Minutes → minute card</t>
  </si>
  <si>
    <t>T-0054</t>
  </si>
  <si>
    <t>MISS-005</t>
  </si>
  <si>
    <t>Task and project export is JSON only</t>
  </si>
  <si>
    <t xml:space="preserve">Settings → Export JSON dumps projects/tasks/activities as raw JSON (and omits goals, minutes, templates, comments). There is no spreadsheet export of the task list with plan/actual dates, assignees and progress.
Reproduction: Try to get the task list into Excel.
Root cause: Export built as a backup, not a report.
Fix: Add Export tasks (.xlsx/.csv) to Kanban/Gantt page actions with current filters applied, include all collections in the backup, and label the JSON export as 'Backup (advanced)'.
Where to see it: Kanban / Gantt page actions; Settings → Your data
Risk of applying: Low — Additive. Recommendation: Proceed.
Files: src/components/SettingsView.jsx:388-399 · src/components/SettingsView.jsx:792-810</t>
  </si>
  <si>
    <t xml:space="preserve">1. Given the Board filtered to project P
2. When Export .xlsx is clicked
3. Then a workbook tasks-P-YYYY-MM-DD.xlsx contains one row per task with all columns</t>
  </si>
  <si>
    <t>src/components/SettingsView.jsx:388-399 · src/components/SettingsView.jsx:792-810</t>
  </si>
  <si>
    <t xml:space="preserve">Export and open in Excel; verify dates and assignee names.
Run: npm test</t>
  </si>
  <si>
    <t>Kanban / Gantt page actions; Settings → Your data</t>
  </si>
  <si>
    <t>T-0055</t>
  </si>
  <si>
    <t>MISS-006</t>
  </si>
  <si>
    <t>Quick create exists only for tasks</t>
  </si>
  <si>
    <t xml:space="preserve">The Board quick-add with natural-language parsing is good, but projects, minutes, goals and activities each need their own page and modal. ⌘K only searches; there is no create-anything entry point.
Reproduction: Press ⌘K and type 'new project': only task/activity matches appear.
Root cause: Search palette has no actions.
Fix: Extend GlobalSearch into a command palette: rows for New task (uses parseQuickAdd), New project, New minute, New goal, Log activity for &lt;task&gt;, and navigation to views.
Where to see it: Topbar search (⌘K)
Risk of applying: Low — AppShell only. Recommendation: Proceed.
Files: src/components/TaskForm.jsx · src/components/AppShell.jsx:407-603</t>
  </si>
  <si>
    <t xml:space="preserve">1. Given ⌘K
2. When the user types 'new project Website'
3. Then Enter opens the project editor prefilled with the name</t>
  </si>
  <si>
    <t>src/components/TaskForm.jsx · src/components/AppShell.jsx:407-603</t>
  </si>
  <si>
    <t xml:space="preserve">Keyboard-only: ⌘K, type, Enter.
Run: npm test</t>
  </si>
  <si>
    <t>Topbar search (⌘K)</t>
  </si>
  <si>
    <t>T-0056</t>
  </si>
  <si>
    <t>MISS-007</t>
  </si>
  <si>
    <t>Projects and segments have colors but no icons</t>
  </si>
  <si>
    <t xml:space="preserve">Workspaces can pick an icon, but projects and segments only have a color dot; the requirement is icons per group/category so users recognise groups at a glance (Notion page icons, Monday board icons).
Reproduction: Open a project: no icon picker.
Root cause: Schema has no icon field on projects.
Fix: Add optional icon to projects (reuse the workspace ICONS picker or emoji), show it on project cards, the picker and Board segment headers.
Where to see it: Projects → project editor
Risk of applying: Low — Additive field. Recommendation: Proceed.
Files: src/components/ProjectsView.jsx:869-889 · src/services/firebase.js:705-737 · src/components/WorkspaceEditor.jsx:251-264</t>
  </si>
  <si>
    <t xml:space="preserve">1. Given a project with icon ★
2. When listed anywhere
3. Then ★ precedes the name</t>
  </si>
  <si>
    <t>src/components/ProjectsView.jsx:869-889 · src/services/firebase.js:705-737 · src/components/WorkspaceEditor.jsx:251-264</t>
  </si>
  <si>
    <t xml:space="preserve">Set an icon, check Projects, topbar picker, Board segments.
Run: npm test</t>
  </si>
  <si>
    <t>Projects → project editor</t>
  </si>
  <si>
    <t>T-0057</t>
  </si>
  <si>
    <t>MISS-008</t>
  </si>
  <si>
    <t>Soft-deleted items cannot be seen or restored</t>
  </si>
  <si>
    <t xml:space="preserve">Delete dialogs say 'This is a soft delete and can be restored' but no screen lists deleted tasks/projects/workspaces; restoring requires the Firestore console.
Reproduction: Delete a task, look for a way to bring it back.
Root cause: deleted flag filtered everywhere with no Trash view.
Fix: Add Settings → Trash (or a Trash filter in Table) listing deleted tasks/projects for the workspace with Restore and Delete forever (admin), plus an Undo toast right after deletion.
Where to see it: Task editor → Delete; Settings → Trash
Risk of applying: Medium — New queries on deleted docs; rules already allow owner/admin update. Recommendation: Proceed.
Files: src/components/TaskEditor.jsx:320-324 · src/components/WorkspaceEditor.jsx:138-143 · src/services/firebase.js:1125-1127</t>
  </si>
  <si>
    <t xml:space="preserve">1. Given a task deleted 1 minute ago
2. When Undo or Trash → Restore is used
3. Then it reappears on the Board</t>
  </si>
  <si>
    <t>src/components/TaskEditor.jsx:320-324 · src/components/WorkspaceEditor.jsx:138-143 · src/services/firebase.js:1125-1127</t>
  </si>
  <si>
    <t xml:space="preserve">Delete and restore a task and a project.
Run: npm test</t>
  </si>
  <si>
    <t>Task editor → Delete; Settings → Trash</t>
  </si>
  <si>
    <t>T-0058</t>
  </si>
  <si>
    <t>NEW-003</t>
  </si>
  <si>
    <t>Weekly timesheet per person exportable to Excel</t>
  </si>
  <si>
    <t xml:space="preserve">Hours are logged per activity but there is no per-person, per-week timesheet like Monday's time tracking or Airtable's rollups; managers cannot approve or bill hours.
Reproduction: n/a
Root cause: n/a
Fix: Add Reports → Timesheet: rows = members, columns = days of week, totals, filter by project, export .xlsx named timesheet-&lt;week&gt;-YYYY-MM-DD.xlsx.
Where to see it: Reports → Timesheet (new)
Risk of applying: Low — Read-only report. Recommendation: Proceed.
Files: src/components/WorkPerformedView.jsx · src/components/AnalyticsView.jsx</t>
  </si>
  <si>
    <t xml:space="preserve">1. Given a week with logged hours
2. When Timesheet opens
3. Then each member's daily hours and totals match the activity log</t>
  </si>
  <si>
    <t>src/components/WorkPerformedView.jsx · src/components/AnalyticsView.jsx</t>
  </si>
  <si>
    <t xml:space="preserve">Cross-check totals against Activity Log.
Run: npm test</t>
  </si>
  <si>
    <t>Reports → Timesheet (new)</t>
  </si>
  <si>
    <t>T-0059</t>
  </si>
  <si>
    <t>NEW-006</t>
  </si>
  <si>
    <t>Import wizard for tasks and projects</t>
  </si>
  <si>
    <t xml:space="preserve">The CSV importer only understands activities. Teams moving from Monday/Airtable/Excel need to import task lists with column mapping, like Airtable's import wizard.
Reproduction: n/a
Root cause: n/a
Fix: Generalise the importer: choose entity (tasks/projects/activities), map columns with dropdowns, preview, dry run, then bulk create in batches of 400.
Where to see it: Activity Log → Import (extended)
Risk of applying: Low — Writes via existing addTask. Recommendation: Proceed.
Files: src/components/CsvImporter.jsx:46-60</t>
  </si>
  <si>
    <t xml:space="preserve">1. Given a spreadsheet of tasks
2. When imported
3. Then tasks exist with project, dates, priority and assignees mapped</t>
  </si>
  <si>
    <t>src/components/CsvImporter.jsx:46-60</t>
  </si>
  <si>
    <t xml:space="preserve">Import a 50-row task CSV.
Run: npm test</t>
  </si>
  <si>
    <t>Activity Log → Import (extended)</t>
  </si>
  <si>
    <t>T-0060</t>
  </si>
  <si>
    <t>NEW-007</t>
  </si>
  <si>
    <t>Process template gallery</t>
  </si>
  <si>
    <t xml:space="preserve">Notion's template gallery is how non-savvy users start. The app has task/project templates but no ready-made process packs (client onboarding, audit, campaign, hiring) that create a project, phases, tasks and recurring rituals in one click.
Reproduction: n/a
Root cause: n/a
Fix: Ship built-in templates as JSON under src/templates/, show a gallery with icons on the empty Projects state and in New project, and let workspaces publish their own.
Where to see it: Projects → New project → From gallery (new)
Risk of applying: Low — Uses existing addProject/addTask. Recommendation: Proceed.
Files: src/services/firebase.js:1377-1418 · src/components/ProjectsView.jsx:193-230</t>
  </si>
  <si>
    <t xml:space="preserve">1. Given a new workspace
2. When 'Client onboarding' is chosen
3. Then a project with phases and 10 tasks is created</t>
  </si>
  <si>
    <t>src/services/firebase.js:1377-1418 · src/components/ProjectsView.jsx:193-230</t>
  </si>
  <si>
    <t xml:space="preserve">Use a gallery template; inspect the Board.
Run: npm test</t>
  </si>
  <si>
    <t>Projects → New project → From gallery (new)</t>
  </si>
  <si>
    <t>T-0061</t>
  </si>
  <si>
    <t>NEW-008</t>
  </si>
  <si>
    <t>Undo toast and Trash view</t>
  </si>
  <si>
    <t xml:space="preserve">Notion and Airtable keep a trash and offer undo after destructive actions; here deletes are immediate confirm dialogs with no way back in the UI.
Reproduction: n/a
Root cause: n/a
Fix: See the soft-delete finding: Undo toast for 10 s plus Settings → Trash with Restore.
Where to see it: Activity Log bulk bar; task editor
Risk of applying: Medium — Hard-deleted activities need soft delete first. Recommendation: Proceed.
Files: src/components/TaskEditor.jsx:320-324 · src/components/TableView.jsx:100-104</t>
  </si>
  <si>
    <t xml:space="preserve">1. Given a bulk delete of activities
2. When Undo is pressed
3. Then the entries and task counters are restored</t>
  </si>
  <si>
    <t>src/components/TaskEditor.jsx:320-324 · src/components/TableView.jsx:100-104</t>
  </si>
  <si>
    <t xml:space="preserve">Bulk delete then Undo.
Run: npm test</t>
  </si>
  <si>
    <t>Activity Log bulk bar; task editor</t>
  </si>
  <si>
    <t>T-0062</t>
  </si>
  <si>
    <t>NEW-009</t>
  </si>
  <si>
    <t>Command palette with create and navigate actions</t>
  </si>
  <si>
    <t xml:space="preserve">Linear and Notion's ⌘K does everything; here it only searches. Turning it into the Grok-like quick-create path covers every object type.
Reproduction: n/a
Root cause: n/a
Fix: See quick-create finding; add navigation commands and recent items.
Where to see it: Topbar ⌘K
Risk of applying: Low — AppShell only. Recommendation: Proceed.
Files: src/components/AppShell.jsx:407-603</t>
  </si>
  <si>
    <t xml:space="preserve">1. Given ⌘K
2. When 'go to gantt' is typed
3. Then Enter navigates</t>
  </si>
  <si>
    <t>src/components/AppShell.jsx:407-603</t>
  </si>
  <si>
    <t xml:space="preserve">Keyboard walkthrough.
Run: npm test</t>
  </si>
  <si>
    <t>Topbar ⌘K</t>
  </si>
  <si>
    <t>T-0063</t>
  </si>
  <si>
    <t>NEW-010</t>
  </si>
  <si>
    <t>Portfolio status report as PDF</t>
  </si>
  <si>
    <t xml:space="preserve">Monday's dashboards and Notion's roll-ups give executives a one-page RAG status across projects; the Dashboard computes RAG already but cannot be shared outside the app.
Reproduction: n/a
Root cause: n/a
Fix: Add Dashboard → Download status report (.pdf/.docx) with RAG table, overdue list, blockers and AI narrative, named status-report-&lt;workspace&gt;-YYYY-MM-DD.pdf.
Where to see it: Dashboard
Risk of applying: Low — Depends on exporter service. Recommendation: Proceed.
Files: src/components/DashboardView.jsx:190-217</t>
  </si>
  <si>
    <t xml:space="preserve">1. Given the Dashboard
2. When Download report is clicked
3. Then a dated PDF with the same numbers downloads</t>
  </si>
  <si>
    <t>src/components/DashboardView.jsx:190-217</t>
  </si>
  <si>
    <t xml:space="preserve">Compare PDF figures with the page.
Run: npm test</t>
  </si>
  <si>
    <t>Dashboard</t>
  </si>
  <si>
    <t>T-0064</t>
  </si>
  <si>
    <t>POL-001</t>
  </si>
  <si>
    <t>95 native alert/prompt/confirm dialogs — API/data layer</t>
  </si>
  <si>
    <t xml:space="preserve">Saving templates, naming saved views, deletes, errors and the notification test all use window.alert/prompt/confirm (e.g. 'Could not save task. Check console.'). These block the UI, look unbranded, cannot be styled for dark mode and tell non-technical users to open the console.
Reproduction: Click ★ Save view or Save as template.
Root cause: No toast/dialog primitives.
Fix: Add a Toast provider and a ConfirmDialog/PromptDialog component (reuse the due-alert modal styles), replace all 95 call sites, and change error copy to plain language.
Where to see it: All pages
Risk of applying: Medium — Shared component touched by 22 files. Recommendation: Proceed.
Scope of this row: server-side changes only (routes, validation, database, spec). Leave the UI for the next row.</t>
  </si>
  <si>
    <t xml:space="preserve">1. Given any destructive action
2. When triggered
3. Then an in-app confirm dialog with Cancel/Delete appears and errors show as toasts</t>
  </si>
  <si>
    <t>src/components/SettingsView.jsx:104-221 · src/components/TaskEditor.jsx:227-347 · src/components/ProjectsView.jsx · src/components/AppShell.jsx:296-311</t>
  </si>
  <si>
    <t xml:space="preserve">grep -c 'alert(\|prompt(\|confirm(' src returns 0; walk through delete flows.
Run: npm test</t>
  </si>
  <si>
    <t>T-0065</t>
  </si>
  <si>
    <t>95 native alert/prompt/confirm dialogs — UI</t>
  </si>
  <si>
    <t xml:space="preserve">Saving templates, naming saved views, deletes, errors and the notification test all use window.alert/prompt/confirm (e.g. 'Could not save task. Check console.'). These block the UI, look unbranded, cannot be styled for dark mode and tell non-technical users to open the console.
Reproduction: Click ★ Save view or Save as template.
Root cause: No toast/dialog primitives.
Fix: Add a Toast provider and a ConfirmDialog/PromptDialog component (reuse the due-alert modal styles), replace all 95 call sites, and change error copy to plain language.
Where to see it: All pages
Risk of applying: Medium — Shared component touched by 22 files. Recommendation: Proceed.
Scope of this row: client-side changes (pages, components, styles) that use the API from T-0064. Plain-language inputs only.</t>
  </si>
  <si>
    <t>T-0066</t>
  </si>
  <si>
    <t>95 native alert/prompt/confirm dialogs — tests &amp; docs</t>
  </si>
  <si>
    <t>Add automated tests covering POL-001 (API and, where possible, UI), update README.md/Implementation_plan.md status, append CHANGELOG.md.</t>
  </si>
  <si>
    <t>T-0064, T-0065</t>
  </si>
  <si>
    <t>T-0067</t>
  </si>
  <si>
    <t>POL-002</t>
  </si>
  <si>
    <t>Modals lack dialog semantics, focus trap and Esc — API/data layer</t>
  </si>
  <si>
    <t xml:space="preserve">Only DueTaskAlertModal and TutorialGuide use role=dialog/aria-modal. TaskEditor, ProjectEditor, ActivityLogger, WorkspaceEditor and others close on backdrop click but not Esc, do not trap focus, and their icon-only buttons (✕ ✎ ▶ ↑ ↓ ⎘) have no aria-label.
Reproduction: Open a task, press Esc: nothing happens; Tab moves focus behind the modal.
Root cause: Ad-hoc modal markup per component.
Fix: Create a Modal wrapper (role=dialog, aria-labelledby, focus trap, Esc → onClose, restore focus) and adopt it everywhere; add aria-labels to icon buttons.
Where to see it: Task editor, project editor, log activity, workspace editor
Risk of applying: Medium — Shared wrapper across many modals. Recommendation: Proceed.
Scope of this row: server-side changes only (routes, validation, database, spec). Leave the UI for the next row.</t>
  </si>
  <si>
    <t xml:space="preserve">1. Given any open modal
2. When Esc is pressed
3. Then it closes and focus returns to the trigger
4. Given a screen reader
5. When a modal opens
6. Then its title is announced</t>
  </si>
  <si>
    <t>src/components/TaskEditor.jsx:351-411 · src/components/ActivityLogger.jsx:65-66 · src/components/Board.jsx:558-570 · src/components/ProjectsView.jsx:1142-1188</t>
  </si>
  <si>
    <t xml:space="preserve">Keyboard-only walkthrough; axe DevTools scan.
Run: npm test</t>
  </si>
  <si>
    <t>Task editor, project editor, log activity, workspace editor</t>
  </si>
  <si>
    <t>T-0068</t>
  </si>
  <si>
    <t>Modals lack dialog semantics, focus trap and Esc — UI</t>
  </si>
  <si>
    <t xml:space="preserve">Only DueTaskAlertModal and TutorialGuide use role=dialog/aria-modal. TaskEditor, ProjectEditor, ActivityLogger, WorkspaceEditor and others close on backdrop click but not Esc, do not trap focus, and their icon-only buttons (✕ ✎ ▶ ↑ ↓ ⎘) have no aria-label.
Reproduction: Open a task, press Esc: nothing happens; Tab moves focus behind the modal.
Root cause: Ad-hoc modal markup per component.
Fix: Create a Modal wrapper (role=dialog, aria-labelledby, focus trap, Esc → onClose, restore focus) and adopt it everywhere; add aria-labels to icon buttons.
Where to see it: Task editor, project editor, log activity, workspace editor
Risk of applying: Medium — Shared wrapper across many modals. Recommendation: Proceed.
Scope of this row: client-side changes (pages, components, styles) that use the API from T-0067. Plain-language inputs only.</t>
  </si>
  <si>
    <t>T-0069</t>
  </si>
  <si>
    <t>Modals lack dialog semantics, focus trap and Esc — tests &amp; docs</t>
  </si>
  <si>
    <t>Add automated tests covering POL-002 (API and, where possible, UI), update README.md/Implementation_plan.md status, append CHANGELOG.md.</t>
  </si>
  <si>
    <t>T-0067, T-0068</t>
  </si>
  <si>
    <t>T-0070</t>
  </si>
  <si>
    <t>NEW-002</t>
  </si>
  <si>
    <t>v0.4</t>
  </si>
  <si>
    <t>Automation rules replacing dead webhooks — API/data layer</t>
  </si>
  <si>
    <t xml:space="preserve">Monday's automations ('when status changes to Done, notify owner / create next task / move to phase') are the main reason process-driven teams pick it. Task Monitor has the events but no rule engine.
Reproduction: n/a
Root cause: n/a
Fix: Cloud Function onWrite(tasks) evaluating workspace rules {trigger, condition, action} authored in a plain-language form (dropdowns), with actions: notify, assign, set phase, create follow-up task, send webhook.
Where to see it: Settings → Automations (new)
Risk of applying: High — New backend and schema. Recommendation: On-Hold.
Scope of this row: server-side changes only (routes, validation, database, spec). Leave the UI for the next row.</t>
  </si>
  <si>
    <t xml:space="preserve">1. Given a rule 'when task done → create follow-up'
2. When a task is completed
3. Then the follow-up task exists within 10 s</t>
  </si>
  <si>
    <t>src/services/firebase.js:1941-1978 · src/components/SettingsView.jsx:820-869</t>
  </si>
  <si>
    <t xml:space="preserve">Create rule, complete task, verify.
Run: npm test</t>
  </si>
  <si>
    <t>Settings → Automations (new)</t>
  </si>
  <si>
    <t>T-0071</t>
  </si>
  <si>
    <t>Automation rules replacing dead webhooks — UI</t>
  </si>
  <si>
    <t xml:space="preserve">Monday's automations ('when status changes to Done, notify owner / create next task / move to phase') are the main reason process-driven teams pick it. Task Monitor has the events but no rule engine.
Reproduction: n/a
Root cause: n/a
Fix: Cloud Function onWrite(tasks) evaluating workspace rules {trigger, condition, action} authored in a plain-language form (dropdowns), with actions: notify, assign, set phase, create follow-up task, send webhook.
Where to see it: Settings → Automations (new)
Risk of applying: High — New backend and schema. Recommendation: On-Hold.
Scope of this row: client-side changes (pages, components, styles) that use the API from T-0070. Plain-language inputs only.</t>
  </si>
  <si>
    <t>T-0072</t>
  </si>
  <si>
    <t>Automation rules replacing dead webhooks — tests &amp; docs</t>
  </si>
  <si>
    <t>Add automated tests covering NEW-002 (API and, where possible, UI), update README.md/Implementation_plan.md status, append CHANGELOG.md.</t>
  </si>
  <si>
    <t>T-0070, T-0071</t>
  </si>
  <si>
    <t>T-0073</t>
  </si>
  <si>
    <t>IMP-008</t>
  </si>
  <si>
    <t>Attachments uploaded by one member cannot be deleted by others</t>
  </si>
  <si>
    <t xml:space="preserve">Storage rules only allow users/{uid} paths for the uploader. Other workspace members open files via download tokens, but deleteUpload silently warns and the object stays; storage leaks when activities are deleted by admins.
Reproduction: Member A attaches a file; admin B deletes the activity: file remains in Storage.
Root cause: Path is per-user, not per-workspace.
Fix: Store under workspaces/{wsId}/{taskId}/ and gate rules on workspace membership via Firestore get(); clean up files in deleteActivity.
Where to see it: Log activity → Files &amp; links
Risk of applying: High — Storage path migration for existing files. Recommendation: On-Hold.
Files: storage.rules:10-12 · src/services/firebase.js:1585-1629 · src/components/FileUpload.jsx:45-48</t>
  </si>
  <si>
    <t xml:space="preserve">1. Given admin B deletes A's activity with a file
2. When done
3. Then the storage object is removed</t>
  </si>
  <si>
    <t>storage.rules:10-12 · src/services/firebase.js:1585-1629 · src/components/FileUpload.jsx:45-48</t>
  </si>
  <si>
    <t xml:space="preserve">Upload as A, delete as B, inspect the Storage bucket.
Run: npm test</t>
  </si>
  <si>
    <t>Log activity → Files &amp; links</t>
  </si>
  <si>
    <t>T-0074</t>
  </si>
  <si>
    <t>MISS-009</t>
  </si>
  <si>
    <t>Custom fields are invisible outside the task editor</t>
  </si>
  <si>
    <t xml:space="preserve">Projects can define custom fields, but values are not shown as Table columns, on cards, in Gantt, in CSV exports or as filters, so the feature cannot be used for reporting.
Reproduction: Add a select field Client to a project, set values, open Activity Log/Board: nothing shows.
Root cause: Only the editor reads customValues.
Fix: Render custom values on cards (chips), add dynamic columns in a tasks table export, and allow filtering by custom field in saved views.
Where to see it: Kanban; Activity Log; exports
Risk of applying: Low — Read-only rendering. Recommendation: Proceed.
Files: src/components/TaskEditor.jsx:995-1025 · src/components/ProjectsView.jsx:758-805 · src/components/TableView.jsx:13-24</t>
  </si>
  <si>
    <t xml:space="preserve">1. Given a project with a Client field
2. When the Board is filtered to it
3. Then cards show the Client chip and export includes the column</t>
  </si>
  <si>
    <t>src/components/TaskEditor.jsx:995-1025 · src/components/ProjectsView.jsx:758-805 · src/components/TableView.jsx:13-24</t>
  </si>
  <si>
    <t xml:space="preserve">Define fields, set values, check Board and export.
Run: npm test</t>
  </si>
  <si>
    <t>Kanban; Activity Log; exports</t>
  </si>
  <si>
    <t>T-0075</t>
  </si>
  <si>
    <t>NEW-004</t>
  </si>
  <si>
    <t>Mentions and a personal inbox — API/data layer</t>
  </si>
  <si>
    <t xml:space="preserve">Comments render @mentions as pills but nobody is notified. Notion's inbox and Monday's notifications make collaboration stick; without them comments and assignments go unseen.
Reproduction: n/a
Root cause: n/a
Fix: notifications collection written on mention/assign/comment; a topbar inbox with unread count and deep links; browser notification reuse.
Where to see it: Topbar inbox (new)
Risk of applying: Medium — New collection and rules. Recommendation: Proceed.
Scope of this row: server-side changes only (routes, validation, database, spec). Leave the UI for the next row.</t>
  </si>
  <si>
    <t xml:space="preserve">1. Given user A mentions B
2. When B opens the app
3. Then the inbox shows the mention and opens the task</t>
  </si>
  <si>
    <t>src/components/Markdown.jsx:46 · src/components/TaskEditor.jsx:1130-1214</t>
  </si>
  <si>
    <t xml:space="preserve">Mention a teammate; check their inbox.
Run: npm test</t>
  </si>
  <si>
    <t>Topbar inbox (new)</t>
  </si>
  <si>
    <t>T-0076</t>
  </si>
  <si>
    <t>Mentions and a personal inbox — UI</t>
  </si>
  <si>
    <t xml:space="preserve">Comments render @mentions as pills but nobody is notified. Notion's inbox and Monday's notifications make collaboration stick; without them comments and assignments go unseen.
Reproduction: n/a
Root cause: n/a
Fix: notifications collection written on mention/assign/comment; a topbar inbox with unread count and deep links; browser notification reuse.
Where to see it: Topbar inbox (new)
Risk of applying: Medium — New collection and rules. Recommendation: Proceed.
Scope of this row: client-side changes (pages, components, styles) that use the API from T-0075. Plain-language inputs only.</t>
  </si>
  <si>
    <t>T-0077</t>
  </si>
  <si>
    <t>Mentions and a personal inbox — tests &amp; docs</t>
  </si>
  <si>
    <t>Add automated tests covering NEW-004 (API and, where possible, UI), update README.md/Implementation_plan.md status, append CHANGELOG.md.</t>
  </si>
  <si>
    <t>T-0075, T-0076</t>
  </si>
  <si>
    <t>T-0078</t>
  </si>
  <si>
    <t>NEW-005</t>
  </si>
  <si>
    <t>Workload planner by week — API/data layer</t>
  </si>
  <si>
    <t xml:space="preserve">The Dashboard shows team load for the current week; Monday's Workload view lets a manager see and drag tasks across people and weeks to rebalance before deadlines slip.
Reproduction: n/a
Root cause: n/a
Fix: Board → Workload: grid of members × next 6 weeks, cells sized by planned tasks/hours; drag a task to another week/person updates plan dates and assignedTo.
Where to see it: Board → Workload (new)
Risk of applying: Medium — Writes to tasks; reuse dnd-kit. Recommendation: Proceed.
Scope of this row: server-side changes only (routes, validation, database, spec). Leave the UI for the next row.</t>
  </si>
  <si>
    <t xml:space="preserve">1. Given an overloaded member
2. When a task is dragged to another member
3. Then assignedTo and plan.endDate update</t>
  </si>
  <si>
    <t>src/components/DashboardView.jsx:222-245</t>
  </si>
  <si>
    <t xml:space="preserve">Drag and verify in task editor.
Run: npm test</t>
  </si>
  <si>
    <t>Board → Workload (new)</t>
  </si>
  <si>
    <t>T-0079</t>
  </si>
  <si>
    <t>Workload planner by week — UI</t>
  </si>
  <si>
    <t xml:space="preserve">The Dashboard shows team load for the current week; Monday's Workload view lets a manager see and drag tasks across people and weeks to rebalance before deadlines slip.
Reproduction: n/a
Root cause: n/a
Fix: Board → Workload: grid of members × next 6 weeks, cells sized by planned tasks/hours; drag a task to another week/person updates plan dates and assignedTo.
Where to see it: Board → Workload (new)
Risk of applying: Medium — Writes to tasks; reuse dnd-kit. Recommendation: Proceed.
Scope of this row: client-side changes (pages, components, styles) that use the API from T-0078. Plain-language inputs only.</t>
  </si>
  <si>
    <t>T-0080</t>
  </si>
  <si>
    <t>Workload planner by week — tests &amp; docs</t>
  </si>
  <si>
    <t>Add automated tests covering NEW-005 (API and, where possible, UI), update README.md/Implementation_plan.md status, append CHANGELOG.md.</t>
  </si>
  <si>
    <t>T-0078, T-0079</t>
  </si>
  <si>
    <t>T-0081</t>
  </si>
  <si>
    <t>NEW-011</t>
  </si>
  <si>
    <t>Read-only share links for a board or Gantt — API/data layer</t>
  </si>
  <si>
    <t xml:space="preserve">Airtable share views and Monday's shareable boards let clients follow progress without an account; the invite-only gate blocks all external visibility today.
Reproduction: n/a
Root cause: n/a
Fix: Cloud Function that renders a snapshot (or a public read-only doc in sharedViews/{token}) for a project's Gantt/Board, expiring links, revocable from Sharing.
Where to see it: Project editor → Sharing
Risk of applying: High — Public data exposure; needs rules design. Recommendation: On-Hold.
Scope of this row: server-side changes only (routes, validation, database, spec). Leave the UI for the next row.</t>
  </si>
  <si>
    <t xml:space="preserve">1. Given a share link
2. When opened signed-out
3. Then the Gantt renders read-only</t>
  </si>
  <si>
    <t>src/components/GanttView.jsx · firestore.rules:130-148</t>
  </si>
  <si>
    <t xml:space="preserve">Open link in incognito.
Run: npm test</t>
  </si>
  <si>
    <t>Project editor → Sharing</t>
  </si>
  <si>
    <t>T-0082</t>
  </si>
  <si>
    <t>Read-only share links for a board or Gantt — UI</t>
  </si>
  <si>
    <t xml:space="preserve">Airtable share views and Monday's shareable boards let clients follow progress without an account; the invite-only gate blocks all external visibility today.
Reproduction: n/a
Root cause: n/a
Fix: Cloud Function that renders a snapshot (or a public read-only doc in sharedViews/{token}) for a project's Gantt/Board, expiring links, revocable from Sharing.
Where to see it: Project editor → Sharing
Risk of applying: High — Public data exposure; needs rules design. Recommendation: On-Hold.
Scope of this row: client-side changes (pages, components, styles) that use the API from T-0081. Plain-language inputs only.</t>
  </si>
  <si>
    <t>T-0083</t>
  </si>
  <si>
    <t>Read-only share links for a board or Gantt — tests &amp; docs</t>
  </si>
  <si>
    <t>Add automated tests covering NEW-011 (API and, where possible, UI), update README.md/Implementation_plan.md status, append CHANGELOG.md.</t>
  </si>
  <si>
    <t>T-0081, T-0082</t>
  </si>
  <si>
    <t>T-0084</t>
  </si>
  <si>
    <t>NEW-012</t>
  </si>
  <si>
    <t>Scheduled recurrence instead of on-completion only</t>
  </si>
  <si>
    <t xml:space="preserve">Recurring tasks only spawn when the previous instance is marked done, so a missed weekly ritual never reappears. Monday/Notion recurring items generate on schedule.
Reproduction: n/a
Root cause: n/a
Fix: Cloud Scheduler function that daily materialises due instances from recurrence rules (idempotent by recurrenceParentId + date), falling back to the current client path.
Where to see it: Kanban
Risk of applying: High — Backend writes to tasks. Recommendation: On-Hold.
Files: src/services/firebase.js:958-983</t>
  </si>
  <si>
    <t xml:space="preserve">1. Given a weekly task never completed
2. When the next week arrives
3. Then a new instance exists</t>
  </si>
  <si>
    <t>src/services/firebase.js:958-983</t>
  </si>
  <si>
    <t xml:space="preserve">Emulate scheduler run.
Run: npm test</t>
  </si>
  <si>
    <t>Task Monitor — task sheet summary</t>
  </si>
  <si>
    <t>Release v0.1 · generated 2026-09-20 by Ideon</t>
  </si>
  <si>
    <t>Total tasks</t>
  </si>
  <si>
    <t>Done (YES)</t>
  </si>
  <si>
    <t>Blocked</t>
  </si>
  <si>
    <t>On-Hold (needs your review)</t>
  </si>
  <si>
    <t>% done</t>
  </si>
  <si>
    <t>Total estimated AI cost (USD)</t>
  </si>
  <si>
    <t>By release</t>
  </si>
  <si>
    <t>Tasks</t>
  </si>
  <si>
    <t>Done</t>
  </si>
  <si>
    <t>By priority</t>
  </si>
  <si>
    <t>By category</t>
  </si>
  <si>
    <t>By area</t>
  </si>
  <si>
    <t>By risk of applying</t>
  </si>
  <si>
    <t>By recommendation</t>
  </si>
  <si>
    <t>On-Hold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</si>
</sst>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numFmts>
  <fonts count="6" x14ac:knownFonts="1">
    <font>
      <color theme="1"/>
      <family val="2"/>
      <scheme val="minor"/>
      <sz val="11"/>
      <name val="Calibri"/>
    </font>
    <font>
      <b/>
      <color rgb="FFFFFFFF"/>
    </font>
    <font>
      <b/>
      <color rgb="FFB91C1C"/>
    </font>
    <font>
      <b/>
      <sz val="14"/>
    </font>
    <font>
      <i/>
      <color rgb="FF6B7280"/>
    </font>
    <font>
      <b/>
    </font>
  </fonts>
  <fills count="6">
    <fill>
      <patternFill patternType="none"/>
    </fill>
    <fill>
      <patternFill patternType="gray125"/>
    </fill>
    <fill>
      <patternFill patternType="solid">
        <fgColor rgb="FF5B5BD6"/>
      </patternFill>
    </fill>
    <fill>
      <patternFill patternType="solid">
        <fgColor rgb="FFFEE2E2"/>
      </patternFill>
    </fill>
    <fill>
      <patternFill patternType="solid">
        <fgColor rgb="FFFEF3C7"/>
      </patternFill>
    </fill>
    <fill>
      <patternFill patternType="solid">
        <fgColor rgb="FFEEF0FF"/>
      </patternFill>
    </fill>
  </fills>
  <borders count="1">
    <border>
      <left/>
      <right/>
      <top/>
      <bottom/>
      <diagonal/>
    </border>
  </borders>
  <cellStyleXfs count="1">
    <xf numFmtId="0" fontId="0" fillId="0" borderId="0"/>
  </cellStyleXfs>
  <cellXfs count="14">
    <xf numFmtId="0" fontId="0" fillId="0" borderId="0" xfId="0"/>
    <xf numFmtId="0" fontId="1" fillId="2" borderId="0" xfId="0" applyFont="1" applyFill="1" applyAlignment="1">
      <alignment vertical="center" wrapText="1"/>
    </xf>
    <xf numFmtId="0" fontId="0" fillId="0" borderId="0" xfId="0" applyAlignment="1">
      <alignment vertical="top"/>
    </xf>
    <xf numFmtId="0" fontId="2" fillId="0" borderId="0" xfId="0" applyFont="1" applyAlignment="1">
      <alignment vertical="top"/>
    </xf>
    <xf numFmtId="0" fontId="0" fillId="0" borderId="0" xfId="0" applyAlignment="1">
      <alignment vertical="top" wrapText="1"/>
    </xf>
    <xf numFmtId="0" fontId="0" fillId="3" borderId="0" xfId="0" applyFill="1" applyAlignment="1">
      <alignment vertical="top"/>
    </xf>
    <xf numFmtId="0" fontId="0" fillId="4" borderId="0" xfId="0" applyFill="1" applyAlignment="1">
      <alignment vertical="top"/>
    </xf>
    <xf numFmtId="0" fontId="3" fillId="0" borderId="0" xfId="0" applyFont="1"/>
    <xf numFmtId="0" fontId="4" fillId="0" borderId="0" xfId="0" applyFont="1"/>
    <xf numFmtId="0" fontId="5" fillId="0" borderId="0" xfId="0" applyFont="1"/>
    <xf numFmtId="9" fontId="5" fillId="0" borderId="0" xfId="0" applyNumberFormat="1" applyFont="1"/>
    <xf numFmtId="164" fontId="5" fillId="0" borderId="0" xfId="0" applyNumberFormat="1" applyFont="1"/>
    <xf numFmtId="0" fontId="5" fillId="5" borderId="0" xfId="0" applyFont="1" applyFill="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5"/>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1" customWidth="1"/>
    <col min="5" max="5" width="16" customWidth="1"/>
    <col min="6" max="6" width="8" customWidth="1"/>
    <col min="7" max="7" width="38" customWidth="1"/>
    <col min="8" max="8" width="70" customWidth="1"/>
    <col min="9" max="9" width="55" customWidth="1"/>
    <col min="10" max="10" width="36" customWidth="1"/>
    <col min="11" max="11" width="16" customWidth="1"/>
    <col min="13" max="13" width="55" customWidth="1"/>
    <col min="15" max="15" width="40" customWidth="1"/>
    <col min="16" max="16" width="28" customWidth="1"/>
    <col min="18" max="19" width="15" customWidth="1"/>
  </cols>
  <sheetData>
    <row r="1" ht="22" customHeight="1" spans="1:19"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s="2" customFormat="1" x14ac:dyDescent="0.25">
      <c r="A2" s="2" t="s">
        <v>19</v>
      </c>
      <c r="B2" s="2" t="s">
        <v>20</v>
      </c>
      <c r="C2" s="2" t="s">
        <v>21</v>
      </c>
      <c r="D2" s="3" t="s">
        <v>22</v>
      </c>
      <c r="E2" s="2" t="s">
        <v>23</v>
      </c>
      <c r="F2" s="2" t="s">
        <v>24</v>
      </c>
      <c r="G2" s="2" t="s">
        <v>25</v>
      </c>
      <c r="H2" s="4" t="s">
        <v>26</v>
      </c>
      <c r="I2" s="4" t="s">
        <v>27</v>
      </c>
      <c r="J2" s="4" t="s">
        <v>28</v>
      </c>
      <c r="K2" s="2" t="s">
        <v>29</v>
      </c>
      <c r="L2" s="2" t="s">
        <v>30</v>
      </c>
      <c r="M2" s="4" t="s">
        <v>31</v>
      </c>
      <c r="N2" s="2" t="s">
        <v>29</v>
      </c>
      <c r="O2" s="4" t="s">
        <v>29</v>
      </c>
      <c r="P2" s="4" t="s">
        <v>32</v>
      </c>
      <c r="Q2" s="5" t="s">
        <v>33</v>
      </c>
      <c r="R2" s="2" t="s">
        <v>34</v>
      </c>
      <c r="S2" s="2">
        <v>0</v>
      </c>
    </row>
    <row r="3" spans="1:19" s="2" customFormat="1" x14ac:dyDescent="0.25">
      <c r="A3" s="2" t="s">
        <v>35</v>
      </c>
      <c r="B3" s="2" t="s">
        <v>36</v>
      </c>
      <c r="C3" s="2" t="s">
        <v>21</v>
      </c>
      <c r="D3" s="3" t="s">
        <v>22</v>
      </c>
      <c r="E3" s="2" t="s">
        <v>37</v>
      </c>
      <c r="F3" s="2" t="s">
        <v>24</v>
      </c>
      <c r="G3" s="2" t="s">
        <v>38</v>
      </c>
      <c r="H3" s="4" t="s">
        <v>39</v>
      </c>
      <c r="I3" s="4" t="s">
        <v>40</v>
      </c>
      <c r="J3" s="4" t="s">
        <v>41</v>
      </c>
      <c r="K3" s="2" t="s">
        <v>29</v>
      </c>
      <c r="L3" s="2" t="s">
        <v>42</v>
      </c>
      <c r="M3" s="4" t="s">
        <v>43</v>
      </c>
      <c r="N3" s="2" t="s">
        <v>29</v>
      </c>
      <c r="O3" s="4" t="s">
        <v>29</v>
      </c>
      <c r="P3" s="4" t="s">
        <v>44</v>
      </c>
      <c r="Q3" s="5" t="s">
        <v>33</v>
      </c>
      <c r="R3" s="2" t="s">
        <v>34</v>
      </c>
      <c r="S3" s="2">
        <v>0</v>
      </c>
    </row>
    <row r="4" spans="1:19" s="2" customFormat="1" x14ac:dyDescent="0.25">
      <c r="A4" s="2" t="s">
        <v>45</v>
      </c>
      <c r="B4" s="2" t="s">
        <v>36</v>
      </c>
      <c r="C4" s="2" t="s">
        <v>21</v>
      </c>
      <c r="D4" s="3" t="s">
        <v>22</v>
      </c>
      <c r="E4" s="2" t="s">
        <v>37</v>
      </c>
      <c r="F4" s="2" t="s">
        <v>24</v>
      </c>
      <c r="G4" s="2" t="s">
        <v>46</v>
      </c>
      <c r="H4" s="4" t="s">
        <v>47</v>
      </c>
      <c r="I4" s="4" t="s">
        <v>40</v>
      </c>
      <c r="J4" s="4" t="s">
        <v>41</v>
      </c>
      <c r="K4" s="2" t="s">
        <v>35</v>
      </c>
      <c r="L4" s="2" t="s">
        <v>42</v>
      </c>
      <c r="M4" s="4" t="s">
        <v>43</v>
      </c>
      <c r="N4" s="2" t="s">
        <v>29</v>
      </c>
      <c r="O4" s="4" t="s">
        <v>29</v>
      </c>
      <c r="P4" s="4" t="s">
        <v>44</v>
      </c>
      <c r="Q4" s="5" t="s">
        <v>33</v>
      </c>
      <c r="R4" s="2" t="s">
        <v>34</v>
      </c>
      <c r="S4" s="2">
        <v>0</v>
      </c>
    </row>
    <row r="5" spans="1:19" s="2" customFormat="1" x14ac:dyDescent="0.25">
      <c r="A5" s="2" t="s">
        <v>48</v>
      </c>
      <c r="B5" s="2" t="s">
        <v>36</v>
      </c>
      <c r="C5" s="2" t="s">
        <v>21</v>
      </c>
      <c r="D5" s="3" t="s">
        <v>22</v>
      </c>
      <c r="E5" s="2" t="s">
        <v>49</v>
      </c>
      <c r="F5" s="2" t="s">
        <v>24</v>
      </c>
      <c r="G5" s="2" t="s">
        <v>50</v>
      </c>
      <c r="H5" s="4" t="s">
        <v>51</v>
      </c>
      <c r="I5" s="4" t="s">
        <v>40</v>
      </c>
      <c r="J5" s="4" t="s">
        <v>52</v>
      </c>
      <c r="K5" s="2" t="s">
        <v>53</v>
      </c>
      <c r="L5" s="2" t="s">
        <v>30</v>
      </c>
      <c r="M5" s="4" t="s">
        <v>54</v>
      </c>
      <c r="N5" s="2" t="s">
        <v>29</v>
      </c>
      <c r="O5" s="4" t="s">
        <v>29</v>
      </c>
      <c r="P5" s="4" t="s">
        <v>44</v>
      </c>
      <c r="Q5" s="2" t="s">
        <v>55</v>
      </c>
      <c r="R5" s="2" t="s">
        <v>34</v>
      </c>
      <c r="S5" s="2">
        <v>0</v>
      </c>
    </row>
    <row r="6" spans="1:19" s="2" customFormat="1" x14ac:dyDescent="0.25">
      <c r="A6" s="2" t="s">
        <v>56</v>
      </c>
      <c r="B6" s="2" t="s">
        <v>57</v>
      </c>
      <c r="C6" s="2" t="s">
        <v>21</v>
      </c>
      <c r="D6" s="3" t="s">
        <v>22</v>
      </c>
      <c r="E6" s="2" t="s">
        <v>23</v>
      </c>
      <c r="F6" s="2" t="s">
        <v>24</v>
      </c>
      <c r="G6" s="2" t="s">
        <v>58</v>
      </c>
      <c r="H6" s="4" t="s">
        <v>59</v>
      </c>
      <c r="I6" s="4" t="s">
        <v>60</v>
      </c>
      <c r="J6" s="4" t="s">
        <v>61</v>
      </c>
      <c r="K6" s="2" t="s">
        <v>29</v>
      </c>
      <c r="L6" s="2" t="s">
        <v>42</v>
      </c>
      <c r="M6" s="4" t="s">
        <v>62</v>
      </c>
      <c r="N6" s="2" t="s">
        <v>29</v>
      </c>
      <c r="O6" s="4" t="s">
        <v>29</v>
      </c>
      <c r="P6" s="4" t="s">
        <v>63</v>
      </c>
      <c r="Q6" s="5" t="s">
        <v>33</v>
      </c>
      <c r="R6" s="2" t="s">
        <v>34</v>
      </c>
      <c r="S6" s="2">
        <v>0</v>
      </c>
    </row>
    <row r="7" spans="1:19" s="2" customFormat="1" x14ac:dyDescent="0.25">
      <c r="A7" s="2" t="s">
        <v>64</v>
      </c>
      <c r="B7" s="2" t="s">
        <v>65</v>
      </c>
      <c r="C7" s="2" t="s">
        <v>21</v>
      </c>
      <c r="D7" s="2" t="s">
        <v>66</v>
      </c>
      <c r="E7" s="2" t="s">
        <v>23</v>
      </c>
      <c r="F7" s="2" t="s">
        <v>67</v>
      </c>
      <c r="G7" s="2" t="s">
        <v>68</v>
      </c>
      <c r="H7" s="4" t="s">
        <v>69</v>
      </c>
      <c r="I7" s="4" t="s">
        <v>70</v>
      </c>
      <c r="J7" s="4" t="s">
        <v>71</v>
      </c>
      <c r="K7" s="2" t="s">
        <v>29</v>
      </c>
      <c r="L7" s="2" t="s">
        <v>30</v>
      </c>
      <c r="M7" s="4" t="s">
        <v>72</v>
      </c>
      <c r="N7" s="2" t="s">
        <v>29</v>
      </c>
      <c r="O7" s="4" t="s">
        <v>29</v>
      </c>
      <c r="P7" s="4" t="s">
        <v>73</v>
      </c>
      <c r="Q7" s="5" t="s">
        <v>33</v>
      </c>
      <c r="R7" s="2" t="s">
        <v>34</v>
      </c>
      <c r="S7" s="2">
        <v>0</v>
      </c>
    </row>
    <row r="8" spans="1:19" s="2" customFormat="1" x14ac:dyDescent="0.25">
      <c r="A8" s="2" t="s">
        <v>74</v>
      </c>
      <c r="B8" s="2" t="s">
        <v>75</v>
      </c>
      <c r="C8" s="2" t="s">
        <v>21</v>
      </c>
      <c r="D8" s="2" t="s">
        <v>66</v>
      </c>
      <c r="E8" s="2" t="s">
        <v>37</v>
      </c>
      <c r="F8" s="2" t="s">
        <v>76</v>
      </c>
      <c r="G8" s="2" t="s">
        <v>77</v>
      </c>
      <c r="H8" s="4" t="s">
        <v>78</v>
      </c>
      <c r="I8" s="4" t="s">
        <v>79</v>
      </c>
      <c r="J8" s="4" t="s">
        <v>80</v>
      </c>
      <c r="K8" s="2" t="s">
        <v>29</v>
      </c>
      <c r="L8" s="2" t="s">
        <v>30</v>
      </c>
      <c r="M8" s="4" t="s">
        <v>81</v>
      </c>
      <c r="N8" s="2" t="s">
        <v>29</v>
      </c>
      <c r="O8" s="4" t="s">
        <v>29</v>
      </c>
      <c r="P8" s="4" t="s">
        <v>82</v>
      </c>
      <c r="Q8" s="5" t="s">
        <v>33</v>
      </c>
      <c r="R8" s="2" t="s">
        <v>34</v>
      </c>
      <c r="S8" s="2">
        <v>0</v>
      </c>
    </row>
    <row r="9" spans="1:19" s="2" customFormat="1" x14ac:dyDescent="0.25">
      <c r="A9" s="2" t="s">
        <v>83</v>
      </c>
      <c r="B9" s="2" t="s">
        <v>84</v>
      </c>
      <c r="C9" s="2" t="s">
        <v>21</v>
      </c>
      <c r="D9" s="2" t="s">
        <v>66</v>
      </c>
      <c r="E9" s="2" t="s">
        <v>85</v>
      </c>
      <c r="F9" s="2" t="s">
        <v>86</v>
      </c>
      <c r="G9" s="2" t="s">
        <v>87</v>
      </c>
      <c r="H9" s="4" t="s">
        <v>88</v>
      </c>
      <c r="I9" s="4" t="s">
        <v>89</v>
      </c>
      <c r="J9" s="4" t="s">
        <v>90</v>
      </c>
      <c r="K9" s="2" t="s">
        <v>29</v>
      </c>
      <c r="L9" s="2" t="s">
        <v>30</v>
      </c>
      <c r="M9" s="4" t="s">
        <v>91</v>
      </c>
      <c r="N9" s="2" t="s">
        <v>29</v>
      </c>
      <c r="O9" s="4" t="s">
        <v>29</v>
      </c>
      <c r="P9" s="4" t="s">
        <v>92</v>
      </c>
      <c r="Q9" s="2" t="s">
        <v>55</v>
      </c>
      <c r="R9" s="2" t="s">
        <v>34</v>
      </c>
      <c r="S9" s="2">
        <v>0</v>
      </c>
    </row>
    <row r="10" spans="1:19" s="2" customFormat="1" x14ac:dyDescent="0.25">
      <c r="A10" s="2" t="s">
        <v>93</v>
      </c>
      <c r="B10" s="2" t="s">
        <v>94</v>
      </c>
      <c r="C10" s="2" t="s">
        <v>21</v>
      </c>
      <c r="D10" s="2" t="s">
        <v>66</v>
      </c>
      <c r="E10" s="2" t="s">
        <v>85</v>
      </c>
      <c r="F10" s="2" t="s">
        <v>49</v>
      </c>
      <c r="G10" s="2" t="s">
        <v>95</v>
      </c>
      <c r="H10" s="4" t="s">
        <v>96</v>
      </c>
      <c r="I10" s="4" t="s">
        <v>97</v>
      </c>
      <c r="J10" s="4" t="s">
        <v>98</v>
      </c>
      <c r="K10" s="2" t="s">
        <v>29</v>
      </c>
      <c r="L10" s="2" t="s">
        <v>42</v>
      </c>
      <c r="M10" s="4" t="s">
        <v>99</v>
      </c>
      <c r="N10" s="2" t="s">
        <v>29</v>
      </c>
      <c r="O10" s="4" t="s">
        <v>29</v>
      </c>
      <c r="P10" s="4" t="s">
        <v>100</v>
      </c>
      <c r="Q10" s="2" t="s">
        <v>55</v>
      </c>
      <c r="R10" s="2" t="s">
        <v>34</v>
      </c>
      <c r="S10" s="2">
        <v>0</v>
      </c>
    </row>
    <row r="11" spans="1:19" s="2" customFormat="1" x14ac:dyDescent="0.25">
      <c r="A11" s="2" t="s">
        <v>101</v>
      </c>
      <c r="B11" s="2" t="s">
        <v>94</v>
      </c>
      <c r="C11" s="2" t="s">
        <v>21</v>
      </c>
      <c r="D11" s="2" t="s">
        <v>66</v>
      </c>
      <c r="E11" s="2" t="s">
        <v>85</v>
      </c>
      <c r="F11" s="2" t="s">
        <v>49</v>
      </c>
      <c r="G11" s="2" t="s">
        <v>102</v>
      </c>
      <c r="H11" s="4" t="s">
        <v>103</v>
      </c>
      <c r="I11" s="4" t="s">
        <v>97</v>
      </c>
      <c r="J11" s="4" t="s">
        <v>98</v>
      </c>
      <c r="K11" s="2" t="s">
        <v>93</v>
      </c>
      <c r="L11" s="2" t="s">
        <v>42</v>
      </c>
      <c r="M11" s="4" t="s">
        <v>99</v>
      </c>
      <c r="N11" s="2" t="s">
        <v>29</v>
      </c>
      <c r="O11" s="4" t="s">
        <v>29</v>
      </c>
      <c r="P11" s="4" t="s">
        <v>100</v>
      </c>
      <c r="Q11" s="2" t="s">
        <v>55</v>
      </c>
      <c r="R11" s="2" t="s">
        <v>34</v>
      </c>
      <c r="S11" s="2">
        <v>0</v>
      </c>
    </row>
    <row r="12" spans="1:19" s="2" customFormat="1" x14ac:dyDescent="0.25">
      <c r="A12" s="2" t="s">
        <v>104</v>
      </c>
      <c r="B12" s="2" t="s">
        <v>94</v>
      </c>
      <c r="C12" s="2" t="s">
        <v>21</v>
      </c>
      <c r="D12" s="2" t="s">
        <v>66</v>
      </c>
      <c r="E12" s="2" t="s">
        <v>49</v>
      </c>
      <c r="F12" s="2" t="s">
        <v>49</v>
      </c>
      <c r="G12" s="2" t="s">
        <v>105</v>
      </c>
      <c r="H12" s="4" t="s">
        <v>106</v>
      </c>
      <c r="I12" s="4" t="s">
        <v>97</v>
      </c>
      <c r="J12" s="4" t="s">
        <v>52</v>
      </c>
      <c r="K12" s="2" t="s">
        <v>107</v>
      </c>
      <c r="L12" s="2" t="s">
        <v>30</v>
      </c>
      <c r="M12" s="4" t="s">
        <v>54</v>
      </c>
      <c r="N12" s="2" t="s">
        <v>29</v>
      </c>
      <c r="O12" s="4" t="s">
        <v>29</v>
      </c>
      <c r="P12" s="4" t="s">
        <v>100</v>
      </c>
      <c r="Q12" s="2" t="s">
        <v>55</v>
      </c>
      <c r="R12" s="2" t="s">
        <v>34</v>
      </c>
      <c r="S12" s="2">
        <v>0</v>
      </c>
    </row>
    <row r="13" spans="1:19" s="2" customFormat="1" x14ac:dyDescent="0.25">
      <c r="A13" s="2" t="s">
        <v>108</v>
      </c>
      <c r="B13" s="2" t="s">
        <v>109</v>
      </c>
      <c r="C13" s="2" t="s">
        <v>21</v>
      </c>
      <c r="D13" s="2" t="s">
        <v>110</v>
      </c>
      <c r="E13" s="2" t="s">
        <v>23</v>
      </c>
      <c r="F13" s="2" t="s">
        <v>86</v>
      </c>
      <c r="G13" s="2" t="s">
        <v>111</v>
      </c>
      <c r="H13" s="4" t="s">
        <v>112</v>
      </c>
      <c r="I13" s="4" t="s">
        <v>113</v>
      </c>
      <c r="J13" s="4" t="s">
        <v>114</v>
      </c>
      <c r="K13" s="2" t="s">
        <v>29</v>
      </c>
      <c r="L13" s="2" t="s">
        <v>30</v>
      </c>
      <c r="M13" s="4" t="s">
        <v>115</v>
      </c>
      <c r="N13" s="2" t="s">
        <v>29</v>
      </c>
      <c r="O13" s="4" t="s">
        <v>29</v>
      </c>
      <c r="P13" s="4" t="s">
        <v>116</v>
      </c>
      <c r="Q13" s="2" t="s">
        <v>55</v>
      </c>
      <c r="R13" s="2" t="s">
        <v>34</v>
      </c>
      <c r="S13" s="2">
        <v>0</v>
      </c>
    </row>
    <row r="14" spans="1:19" s="2" customFormat="1" x14ac:dyDescent="0.25">
      <c r="A14" s="2" t="s">
        <v>117</v>
      </c>
      <c r="B14" s="2" t="s">
        <v>118</v>
      </c>
      <c r="C14" s="2" t="s">
        <v>21</v>
      </c>
      <c r="D14" s="2" t="s">
        <v>110</v>
      </c>
      <c r="E14" s="2" t="s">
        <v>23</v>
      </c>
      <c r="F14" s="2" t="s">
        <v>86</v>
      </c>
      <c r="G14" s="2" t="s">
        <v>119</v>
      </c>
      <c r="H14" s="4" t="s">
        <v>120</v>
      </c>
      <c r="I14" s="4" t="s">
        <v>121</v>
      </c>
      <c r="J14" s="4" t="s">
        <v>122</v>
      </c>
      <c r="K14" s="2" t="s">
        <v>29</v>
      </c>
      <c r="L14" s="2" t="s">
        <v>30</v>
      </c>
      <c r="M14" s="4" t="s">
        <v>123</v>
      </c>
      <c r="N14" s="2" t="s">
        <v>29</v>
      </c>
      <c r="O14" s="4" t="s">
        <v>29</v>
      </c>
      <c r="P14" s="4" t="s">
        <v>124</v>
      </c>
      <c r="Q14" s="2" t="s">
        <v>55</v>
      </c>
      <c r="R14" s="2" t="s">
        <v>34</v>
      </c>
      <c r="S14" s="2">
        <v>0</v>
      </c>
    </row>
    <row r="15" spans="1:19" s="2" customFormat="1" x14ac:dyDescent="0.25">
      <c r="A15" s="2" t="s">
        <v>125</v>
      </c>
      <c r="B15" s="2" t="s">
        <v>126</v>
      </c>
      <c r="C15" s="2" t="s">
        <v>21</v>
      </c>
      <c r="D15" s="2" t="s">
        <v>110</v>
      </c>
      <c r="E15" s="2" t="s">
        <v>23</v>
      </c>
      <c r="F15" s="2" t="s">
        <v>86</v>
      </c>
      <c r="G15" s="2" t="s">
        <v>127</v>
      </c>
      <c r="H15" s="4" t="s">
        <v>128</v>
      </c>
      <c r="I15" s="4" t="s">
        <v>129</v>
      </c>
      <c r="J15" s="4" t="s">
        <v>130</v>
      </c>
      <c r="K15" s="2" t="s">
        <v>29</v>
      </c>
      <c r="L15" s="2" t="s">
        <v>30</v>
      </c>
      <c r="M15" s="4" t="s">
        <v>131</v>
      </c>
      <c r="N15" s="2" t="s">
        <v>29</v>
      </c>
      <c r="O15" s="4" t="s">
        <v>29</v>
      </c>
      <c r="P15" s="4" t="s">
        <v>132</v>
      </c>
      <c r="Q15" s="2" t="s">
        <v>55</v>
      </c>
      <c r="R15" s="2" t="s">
        <v>34</v>
      </c>
      <c r="S15" s="2">
        <v>0</v>
      </c>
    </row>
    <row r="16" spans="1:19" s="2" customFormat="1" x14ac:dyDescent="0.25">
      <c r="A16" s="2" t="s">
        <v>133</v>
      </c>
      <c r="B16" s="2" t="s">
        <v>126</v>
      </c>
      <c r="C16" s="2" t="s">
        <v>21</v>
      </c>
      <c r="D16" s="2" t="s">
        <v>110</v>
      </c>
      <c r="E16" s="2" t="s">
        <v>23</v>
      </c>
      <c r="F16" s="2" t="s">
        <v>86</v>
      </c>
      <c r="G16" s="2" t="s">
        <v>134</v>
      </c>
      <c r="H16" s="4" t="s">
        <v>135</v>
      </c>
      <c r="I16" s="4" t="s">
        <v>129</v>
      </c>
      <c r="J16" s="4" t="s">
        <v>130</v>
      </c>
      <c r="K16" s="2" t="s">
        <v>125</v>
      </c>
      <c r="L16" s="2" t="s">
        <v>30</v>
      </c>
      <c r="M16" s="4" t="s">
        <v>131</v>
      </c>
      <c r="N16" s="2" t="s">
        <v>29</v>
      </c>
      <c r="O16" s="4" t="s">
        <v>29</v>
      </c>
      <c r="P16" s="4" t="s">
        <v>132</v>
      </c>
      <c r="Q16" s="2" t="s">
        <v>55</v>
      </c>
      <c r="R16" s="2" t="s">
        <v>34</v>
      </c>
      <c r="S16" s="2">
        <v>0</v>
      </c>
    </row>
    <row r="17" spans="1:19" s="2" customFormat="1" x14ac:dyDescent="0.25">
      <c r="A17" s="2" t="s">
        <v>136</v>
      </c>
      <c r="B17" s="2" t="s">
        <v>126</v>
      </c>
      <c r="C17" s="2" t="s">
        <v>21</v>
      </c>
      <c r="D17" s="2" t="s">
        <v>110</v>
      </c>
      <c r="E17" s="2" t="s">
        <v>49</v>
      </c>
      <c r="F17" s="2" t="s">
        <v>86</v>
      </c>
      <c r="G17" s="2" t="s">
        <v>137</v>
      </c>
      <c r="H17" s="4" t="s">
        <v>138</v>
      </c>
      <c r="I17" s="4" t="s">
        <v>129</v>
      </c>
      <c r="J17" s="4" t="s">
        <v>52</v>
      </c>
      <c r="K17" s="2" t="s">
        <v>139</v>
      </c>
      <c r="L17" s="2" t="s">
        <v>30</v>
      </c>
      <c r="M17" s="4" t="s">
        <v>54</v>
      </c>
      <c r="N17" s="2" t="s">
        <v>29</v>
      </c>
      <c r="O17" s="4" t="s">
        <v>29</v>
      </c>
      <c r="P17" s="4" t="s">
        <v>132</v>
      </c>
      <c r="Q17" s="2" t="s">
        <v>55</v>
      </c>
      <c r="R17" s="2" t="s">
        <v>34</v>
      </c>
      <c r="S17" s="2">
        <v>0</v>
      </c>
    </row>
    <row r="18" spans="1:19" s="2" customFormat="1" x14ac:dyDescent="0.25">
      <c r="A18" s="2" t="s">
        <v>140</v>
      </c>
      <c r="B18" s="2" t="s">
        <v>141</v>
      </c>
      <c r="C18" s="2" t="s">
        <v>21</v>
      </c>
      <c r="D18" s="2" t="s">
        <v>110</v>
      </c>
      <c r="E18" s="2" t="s">
        <v>23</v>
      </c>
      <c r="F18" s="2" t="s">
        <v>142</v>
      </c>
      <c r="G18" s="2" t="s">
        <v>143</v>
      </c>
      <c r="H18" s="4" t="s">
        <v>144</v>
      </c>
      <c r="I18" s="4" t="s">
        <v>145</v>
      </c>
      <c r="J18" s="4" t="s">
        <v>146</v>
      </c>
      <c r="K18" s="2" t="s">
        <v>29</v>
      </c>
      <c r="L18" s="2" t="s">
        <v>30</v>
      </c>
      <c r="M18" s="4" t="s">
        <v>147</v>
      </c>
      <c r="N18" s="2" t="s">
        <v>29</v>
      </c>
      <c r="O18" s="4" t="s">
        <v>29</v>
      </c>
      <c r="P18" s="4" t="s">
        <v>148</v>
      </c>
      <c r="Q18" s="2" t="s">
        <v>55</v>
      </c>
      <c r="R18" s="2" t="s">
        <v>34</v>
      </c>
      <c r="S18" s="2">
        <v>0</v>
      </c>
    </row>
    <row r="19" spans="1:19" s="2" customFormat="1" x14ac:dyDescent="0.25">
      <c r="A19" s="2" t="s">
        <v>149</v>
      </c>
      <c r="B19" s="2" t="s">
        <v>141</v>
      </c>
      <c r="C19" s="2" t="s">
        <v>21</v>
      </c>
      <c r="D19" s="2" t="s">
        <v>110</v>
      </c>
      <c r="E19" s="2" t="s">
        <v>23</v>
      </c>
      <c r="F19" s="2" t="s">
        <v>142</v>
      </c>
      <c r="G19" s="2" t="s">
        <v>150</v>
      </c>
      <c r="H19" s="4" t="s">
        <v>151</v>
      </c>
      <c r="I19" s="4" t="s">
        <v>145</v>
      </c>
      <c r="J19" s="4" t="s">
        <v>146</v>
      </c>
      <c r="K19" s="2" t="s">
        <v>140</v>
      </c>
      <c r="L19" s="2" t="s">
        <v>30</v>
      </c>
      <c r="M19" s="4" t="s">
        <v>147</v>
      </c>
      <c r="N19" s="2" t="s">
        <v>29</v>
      </c>
      <c r="O19" s="4" t="s">
        <v>29</v>
      </c>
      <c r="P19" s="4" t="s">
        <v>148</v>
      </c>
      <c r="Q19" s="2" t="s">
        <v>55</v>
      </c>
      <c r="R19" s="2" t="s">
        <v>34</v>
      </c>
      <c r="S19" s="2">
        <v>0</v>
      </c>
    </row>
    <row r="20" spans="1:19" s="2" customFormat="1" x14ac:dyDescent="0.25">
      <c r="A20" s="2" t="s">
        <v>152</v>
      </c>
      <c r="B20" s="2" t="s">
        <v>141</v>
      </c>
      <c r="C20" s="2" t="s">
        <v>21</v>
      </c>
      <c r="D20" s="2" t="s">
        <v>110</v>
      </c>
      <c r="E20" s="2" t="s">
        <v>49</v>
      </c>
      <c r="F20" s="2" t="s">
        <v>142</v>
      </c>
      <c r="G20" s="2" t="s">
        <v>153</v>
      </c>
      <c r="H20" s="4" t="s">
        <v>154</v>
      </c>
      <c r="I20" s="4" t="s">
        <v>145</v>
      </c>
      <c r="J20" s="4" t="s">
        <v>52</v>
      </c>
      <c r="K20" s="2" t="s">
        <v>155</v>
      </c>
      <c r="L20" s="2" t="s">
        <v>30</v>
      </c>
      <c r="M20" s="4" t="s">
        <v>54</v>
      </c>
      <c r="N20" s="2" t="s">
        <v>29</v>
      </c>
      <c r="O20" s="4" t="s">
        <v>29</v>
      </c>
      <c r="P20" s="4" t="s">
        <v>148</v>
      </c>
      <c r="Q20" s="2" t="s">
        <v>55</v>
      </c>
      <c r="R20" s="2" t="s">
        <v>34</v>
      </c>
      <c r="S20" s="2">
        <v>0</v>
      </c>
    </row>
    <row r="21" spans="1:19" s="2" customFormat="1" x14ac:dyDescent="0.25">
      <c r="A21" s="2" t="s">
        <v>156</v>
      </c>
      <c r="B21" s="2" t="s">
        <v>157</v>
      </c>
      <c r="C21" s="2" t="s">
        <v>21</v>
      </c>
      <c r="D21" s="2" t="s">
        <v>110</v>
      </c>
      <c r="E21" s="2" t="s">
        <v>37</v>
      </c>
      <c r="F21" s="2" t="s">
        <v>86</v>
      </c>
      <c r="G21" s="2" t="s">
        <v>158</v>
      </c>
      <c r="H21" s="4" t="s">
        <v>159</v>
      </c>
      <c r="I21" s="4" t="s">
        <v>160</v>
      </c>
      <c r="J21" s="4" t="s">
        <v>161</v>
      </c>
      <c r="K21" s="2" t="s">
        <v>29</v>
      </c>
      <c r="L21" s="2" t="s">
        <v>30</v>
      </c>
      <c r="M21" s="4" t="s">
        <v>162</v>
      </c>
      <c r="N21" s="2" t="s">
        <v>29</v>
      </c>
      <c r="O21" s="4" t="s">
        <v>29</v>
      </c>
      <c r="P21" s="4" t="s">
        <v>163</v>
      </c>
      <c r="Q21" s="2" t="s">
        <v>55</v>
      </c>
      <c r="R21" s="2" t="s">
        <v>34</v>
      </c>
      <c r="S21" s="2">
        <v>0</v>
      </c>
    </row>
    <row r="22" spans="1:19" s="2" customFormat="1" x14ac:dyDescent="0.25">
      <c r="A22" s="2" t="s">
        <v>164</v>
      </c>
      <c r="B22" s="2" t="s">
        <v>165</v>
      </c>
      <c r="C22" s="2" t="s">
        <v>21</v>
      </c>
      <c r="D22" s="2" t="s">
        <v>110</v>
      </c>
      <c r="E22" s="2" t="s">
        <v>37</v>
      </c>
      <c r="F22" s="2" t="s">
        <v>166</v>
      </c>
      <c r="G22" s="2" t="s">
        <v>167</v>
      </c>
      <c r="H22" s="4" t="s">
        <v>168</v>
      </c>
      <c r="I22" s="4" t="s">
        <v>169</v>
      </c>
      <c r="J22" s="4" t="s">
        <v>170</v>
      </c>
      <c r="K22" s="2" t="s">
        <v>29</v>
      </c>
      <c r="L22" s="2" t="s">
        <v>30</v>
      </c>
      <c r="M22" s="4" t="s">
        <v>171</v>
      </c>
      <c r="N22" s="2" t="s">
        <v>29</v>
      </c>
      <c r="O22" s="4" t="s">
        <v>29</v>
      </c>
      <c r="P22" s="4" t="s">
        <v>172</v>
      </c>
      <c r="Q22" s="2" t="s">
        <v>55</v>
      </c>
      <c r="R22" s="2" t="s">
        <v>34</v>
      </c>
      <c r="S22" s="2">
        <v>0</v>
      </c>
    </row>
    <row r="23" spans="1:19" s="2" customFormat="1" x14ac:dyDescent="0.25">
      <c r="A23" s="2" t="s">
        <v>173</v>
      </c>
      <c r="B23" s="2" t="s">
        <v>165</v>
      </c>
      <c r="C23" s="2" t="s">
        <v>21</v>
      </c>
      <c r="D23" s="2" t="s">
        <v>110</v>
      </c>
      <c r="E23" s="2" t="s">
        <v>37</v>
      </c>
      <c r="F23" s="2" t="s">
        <v>166</v>
      </c>
      <c r="G23" s="2" t="s">
        <v>174</v>
      </c>
      <c r="H23" s="4" t="s">
        <v>175</v>
      </c>
      <c r="I23" s="4" t="s">
        <v>169</v>
      </c>
      <c r="J23" s="4" t="s">
        <v>170</v>
      </c>
      <c r="K23" s="2" t="s">
        <v>164</v>
      </c>
      <c r="L23" s="2" t="s">
        <v>30</v>
      </c>
      <c r="M23" s="4" t="s">
        <v>171</v>
      </c>
      <c r="N23" s="2" t="s">
        <v>29</v>
      </c>
      <c r="O23" s="4" t="s">
        <v>29</v>
      </c>
      <c r="P23" s="4" t="s">
        <v>172</v>
      </c>
      <c r="Q23" s="2" t="s">
        <v>55</v>
      </c>
      <c r="R23" s="2" t="s">
        <v>34</v>
      </c>
      <c r="S23" s="2">
        <v>0</v>
      </c>
    </row>
    <row r="24" spans="1:19" s="2" customFormat="1" x14ac:dyDescent="0.25">
      <c r="A24" s="2" t="s">
        <v>176</v>
      </c>
      <c r="B24" s="2" t="s">
        <v>165</v>
      </c>
      <c r="C24" s="2" t="s">
        <v>21</v>
      </c>
      <c r="D24" s="2" t="s">
        <v>110</v>
      </c>
      <c r="E24" s="2" t="s">
        <v>49</v>
      </c>
      <c r="F24" s="2" t="s">
        <v>166</v>
      </c>
      <c r="G24" s="2" t="s">
        <v>177</v>
      </c>
      <c r="H24" s="4" t="s">
        <v>178</v>
      </c>
      <c r="I24" s="4" t="s">
        <v>169</v>
      </c>
      <c r="J24" s="4" t="s">
        <v>52</v>
      </c>
      <c r="K24" s="2" t="s">
        <v>179</v>
      </c>
      <c r="L24" s="2" t="s">
        <v>30</v>
      </c>
      <c r="M24" s="4" t="s">
        <v>54</v>
      </c>
      <c r="N24" s="2" t="s">
        <v>29</v>
      </c>
      <c r="O24" s="4" t="s">
        <v>29</v>
      </c>
      <c r="P24" s="4" t="s">
        <v>172</v>
      </c>
      <c r="Q24" s="2" t="s">
        <v>55</v>
      </c>
      <c r="R24" s="2" t="s">
        <v>34</v>
      </c>
      <c r="S24" s="2">
        <v>0</v>
      </c>
    </row>
    <row r="25" spans="1:19" s="2" customFormat="1" x14ac:dyDescent="0.25">
      <c r="A25" s="2" t="s">
        <v>180</v>
      </c>
      <c r="B25" s="2" t="s">
        <v>181</v>
      </c>
      <c r="C25" s="2" t="s">
        <v>21</v>
      </c>
      <c r="D25" s="2" t="s">
        <v>110</v>
      </c>
      <c r="E25" s="2" t="s">
        <v>85</v>
      </c>
      <c r="F25" s="2" t="s">
        <v>76</v>
      </c>
      <c r="G25" s="2" t="s">
        <v>182</v>
      </c>
      <c r="H25" s="4" t="s">
        <v>183</v>
      </c>
      <c r="I25" s="4" t="s">
        <v>184</v>
      </c>
      <c r="J25" s="4" t="s">
        <v>185</v>
      </c>
      <c r="K25" s="2" t="s">
        <v>29</v>
      </c>
      <c r="L25" s="2" t="s">
        <v>30</v>
      </c>
      <c r="M25" s="4" t="s">
        <v>186</v>
      </c>
      <c r="N25" s="2" t="s">
        <v>29</v>
      </c>
      <c r="O25" s="4" t="s">
        <v>29</v>
      </c>
      <c r="P25" s="4" t="s">
        <v>187</v>
      </c>
      <c r="Q25" s="2" t="s">
        <v>55</v>
      </c>
      <c r="R25" s="2" t="s">
        <v>34</v>
      </c>
      <c r="S25" s="2">
        <v>0</v>
      </c>
    </row>
    <row r="26" spans="1:19" s="2" customFormat="1" x14ac:dyDescent="0.25">
      <c r="A26" s="2" t="s">
        <v>188</v>
      </c>
      <c r="B26" s="2" t="s">
        <v>189</v>
      </c>
      <c r="C26" s="2" t="s">
        <v>21</v>
      </c>
      <c r="D26" s="2" t="s">
        <v>110</v>
      </c>
      <c r="E26" s="2" t="s">
        <v>85</v>
      </c>
      <c r="F26" s="2" t="s">
        <v>86</v>
      </c>
      <c r="G26" s="2" t="s">
        <v>190</v>
      </c>
      <c r="H26" s="4" t="s">
        <v>191</v>
      </c>
      <c r="I26" s="4" t="s">
        <v>192</v>
      </c>
      <c r="J26" s="4" t="s">
        <v>193</v>
      </c>
      <c r="K26" s="2" t="s">
        <v>29</v>
      </c>
      <c r="L26" s="2" t="s">
        <v>30</v>
      </c>
      <c r="M26" s="4" t="s">
        <v>194</v>
      </c>
      <c r="N26" s="2" t="s">
        <v>29</v>
      </c>
      <c r="O26" s="4" t="s">
        <v>29</v>
      </c>
      <c r="P26" s="4" t="s">
        <v>195</v>
      </c>
      <c r="Q26" s="2" t="s">
        <v>55</v>
      </c>
      <c r="R26" s="2" t="s">
        <v>34</v>
      </c>
      <c r="S26" s="2">
        <v>0</v>
      </c>
    </row>
    <row r="27" spans="1:19" s="2" customFormat="1" x14ac:dyDescent="0.25">
      <c r="A27" s="2" t="s">
        <v>196</v>
      </c>
      <c r="B27" s="2" t="s">
        <v>197</v>
      </c>
      <c r="C27" s="2" t="s">
        <v>21</v>
      </c>
      <c r="D27" s="2" t="s">
        <v>110</v>
      </c>
      <c r="E27" s="2" t="s">
        <v>198</v>
      </c>
      <c r="F27" s="2" t="s">
        <v>86</v>
      </c>
      <c r="G27" s="2" t="s">
        <v>199</v>
      </c>
      <c r="H27" s="4" t="s">
        <v>200</v>
      </c>
      <c r="I27" s="4" t="s">
        <v>201</v>
      </c>
      <c r="J27" s="4" t="s">
        <v>202</v>
      </c>
      <c r="K27" s="2" t="s">
        <v>29</v>
      </c>
      <c r="L27" s="2" t="s">
        <v>30</v>
      </c>
      <c r="M27" s="4" t="s">
        <v>203</v>
      </c>
      <c r="N27" s="2" t="s">
        <v>29</v>
      </c>
      <c r="O27" s="4" t="s">
        <v>29</v>
      </c>
      <c r="P27" s="4" t="s">
        <v>204</v>
      </c>
      <c r="Q27" s="2" t="s">
        <v>55</v>
      </c>
      <c r="R27" s="2" t="s">
        <v>34</v>
      </c>
      <c r="S27" s="2">
        <v>0</v>
      </c>
    </row>
    <row r="28" spans="1:19" s="2" customFormat="1" x14ac:dyDescent="0.25">
      <c r="A28" s="2" t="s">
        <v>205</v>
      </c>
      <c r="B28" s="2" t="s">
        <v>197</v>
      </c>
      <c r="C28" s="2" t="s">
        <v>21</v>
      </c>
      <c r="D28" s="2" t="s">
        <v>110</v>
      </c>
      <c r="E28" s="2" t="s">
        <v>198</v>
      </c>
      <c r="F28" s="2" t="s">
        <v>86</v>
      </c>
      <c r="G28" s="2" t="s">
        <v>206</v>
      </c>
      <c r="H28" s="4" t="s">
        <v>207</v>
      </c>
      <c r="I28" s="4" t="s">
        <v>201</v>
      </c>
      <c r="J28" s="4" t="s">
        <v>202</v>
      </c>
      <c r="K28" s="2" t="s">
        <v>196</v>
      </c>
      <c r="L28" s="2" t="s">
        <v>30</v>
      </c>
      <c r="M28" s="4" t="s">
        <v>203</v>
      </c>
      <c r="N28" s="2" t="s">
        <v>29</v>
      </c>
      <c r="O28" s="4" t="s">
        <v>29</v>
      </c>
      <c r="P28" s="4" t="s">
        <v>204</v>
      </c>
      <c r="Q28" s="2" t="s">
        <v>55</v>
      </c>
      <c r="R28" s="2" t="s">
        <v>34</v>
      </c>
      <c r="S28" s="2">
        <v>0</v>
      </c>
    </row>
    <row r="29" spans="1:19" s="2" customFormat="1" x14ac:dyDescent="0.25">
      <c r="A29" s="2" t="s">
        <v>208</v>
      </c>
      <c r="B29" s="2" t="s">
        <v>197</v>
      </c>
      <c r="C29" s="2" t="s">
        <v>21</v>
      </c>
      <c r="D29" s="2" t="s">
        <v>110</v>
      </c>
      <c r="E29" s="2" t="s">
        <v>49</v>
      </c>
      <c r="F29" s="2" t="s">
        <v>86</v>
      </c>
      <c r="G29" s="2" t="s">
        <v>209</v>
      </c>
      <c r="H29" s="4" t="s">
        <v>210</v>
      </c>
      <c r="I29" s="4" t="s">
        <v>201</v>
      </c>
      <c r="J29" s="4" t="s">
        <v>52</v>
      </c>
      <c r="K29" s="2" t="s">
        <v>211</v>
      </c>
      <c r="L29" s="2" t="s">
        <v>30</v>
      </c>
      <c r="M29" s="4" t="s">
        <v>54</v>
      </c>
      <c r="N29" s="2" t="s">
        <v>29</v>
      </c>
      <c r="O29" s="4" t="s">
        <v>29</v>
      </c>
      <c r="P29" s="4" t="s">
        <v>204</v>
      </c>
      <c r="Q29" s="2" t="s">
        <v>55</v>
      </c>
      <c r="R29" s="2" t="s">
        <v>34</v>
      </c>
      <c r="S29" s="2">
        <v>0</v>
      </c>
    </row>
    <row r="30" spans="1:19" s="2" customFormat="1" x14ac:dyDescent="0.25">
      <c r="A30" s="2" t="s">
        <v>212</v>
      </c>
      <c r="B30" s="2" t="s">
        <v>213</v>
      </c>
      <c r="C30" s="2" t="s">
        <v>21</v>
      </c>
      <c r="D30" s="2" t="s">
        <v>110</v>
      </c>
      <c r="E30" s="2" t="s">
        <v>37</v>
      </c>
      <c r="F30" s="2" t="s">
        <v>86</v>
      </c>
      <c r="G30" s="2" t="s">
        <v>214</v>
      </c>
      <c r="H30" s="4" t="s">
        <v>215</v>
      </c>
      <c r="I30" s="4" t="s">
        <v>216</v>
      </c>
      <c r="J30" s="4" t="s">
        <v>217</v>
      </c>
      <c r="K30" s="2" t="s">
        <v>29</v>
      </c>
      <c r="L30" s="2" t="s">
        <v>30</v>
      </c>
      <c r="M30" s="4" t="s">
        <v>218</v>
      </c>
      <c r="N30" s="2" t="s">
        <v>29</v>
      </c>
      <c r="O30" s="4" t="s">
        <v>29</v>
      </c>
      <c r="P30" s="4" t="s">
        <v>219</v>
      </c>
      <c r="Q30" s="2" t="s">
        <v>55</v>
      </c>
      <c r="R30" s="2" t="s">
        <v>34</v>
      </c>
      <c r="S30" s="2">
        <v>0</v>
      </c>
    </row>
    <row r="31" spans="1:19" s="2" customFormat="1" x14ac:dyDescent="0.25">
      <c r="A31" s="2" t="s">
        <v>220</v>
      </c>
      <c r="B31" s="2" t="s">
        <v>213</v>
      </c>
      <c r="C31" s="2" t="s">
        <v>21</v>
      </c>
      <c r="D31" s="2" t="s">
        <v>110</v>
      </c>
      <c r="E31" s="2" t="s">
        <v>37</v>
      </c>
      <c r="F31" s="2" t="s">
        <v>86</v>
      </c>
      <c r="G31" s="2" t="s">
        <v>221</v>
      </c>
      <c r="H31" s="4" t="s">
        <v>222</v>
      </c>
      <c r="I31" s="4" t="s">
        <v>216</v>
      </c>
      <c r="J31" s="4" t="s">
        <v>217</v>
      </c>
      <c r="K31" s="2" t="s">
        <v>212</v>
      </c>
      <c r="L31" s="2" t="s">
        <v>30</v>
      </c>
      <c r="M31" s="4" t="s">
        <v>218</v>
      </c>
      <c r="N31" s="2" t="s">
        <v>29</v>
      </c>
      <c r="O31" s="4" t="s">
        <v>29</v>
      </c>
      <c r="P31" s="4" t="s">
        <v>219</v>
      </c>
      <c r="Q31" s="2" t="s">
        <v>55</v>
      </c>
      <c r="R31" s="2" t="s">
        <v>34</v>
      </c>
      <c r="S31" s="2">
        <v>0</v>
      </c>
    </row>
    <row r="32" spans="1:19" s="2" customFormat="1" x14ac:dyDescent="0.25">
      <c r="A32" s="2" t="s">
        <v>223</v>
      </c>
      <c r="B32" s="2" t="s">
        <v>213</v>
      </c>
      <c r="C32" s="2" t="s">
        <v>21</v>
      </c>
      <c r="D32" s="2" t="s">
        <v>110</v>
      </c>
      <c r="E32" s="2" t="s">
        <v>49</v>
      </c>
      <c r="F32" s="2" t="s">
        <v>86</v>
      </c>
      <c r="G32" s="2" t="s">
        <v>224</v>
      </c>
      <c r="H32" s="4" t="s">
        <v>225</v>
      </c>
      <c r="I32" s="4" t="s">
        <v>216</v>
      </c>
      <c r="J32" s="4" t="s">
        <v>52</v>
      </c>
      <c r="K32" s="2" t="s">
        <v>226</v>
      </c>
      <c r="L32" s="2" t="s">
        <v>30</v>
      </c>
      <c r="M32" s="4" t="s">
        <v>54</v>
      </c>
      <c r="N32" s="2" t="s">
        <v>29</v>
      </c>
      <c r="O32" s="4" t="s">
        <v>29</v>
      </c>
      <c r="P32" s="4" t="s">
        <v>219</v>
      </c>
      <c r="Q32" s="2" t="s">
        <v>55</v>
      </c>
      <c r="R32" s="2" t="s">
        <v>34</v>
      </c>
      <c r="S32" s="2">
        <v>0</v>
      </c>
    </row>
    <row r="33" spans="1:19" s="2" customFormat="1" x14ac:dyDescent="0.25">
      <c r="A33" s="2" t="s">
        <v>227</v>
      </c>
      <c r="B33" s="2" t="s">
        <v>228</v>
      </c>
      <c r="C33" s="2" t="s">
        <v>21</v>
      </c>
      <c r="D33" s="2" t="s">
        <v>110</v>
      </c>
      <c r="E33" s="2" t="s">
        <v>198</v>
      </c>
      <c r="F33" s="2" t="s">
        <v>76</v>
      </c>
      <c r="G33" s="2" t="s">
        <v>229</v>
      </c>
      <c r="H33" s="4" t="s">
        <v>230</v>
      </c>
      <c r="I33" s="4" t="s">
        <v>231</v>
      </c>
      <c r="J33" s="4" t="s">
        <v>232</v>
      </c>
      <c r="K33" s="2" t="s">
        <v>29</v>
      </c>
      <c r="L33" s="2" t="s">
        <v>30</v>
      </c>
      <c r="M33" s="4" t="s">
        <v>233</v>
      </c>
      <c r="N33" s="2" t="s">
        <v>29</v>
      </c>
      <c r="O33" s="4" t="s">
        <v>29</v>
      </c>
      <c r="P33" s="4" t="s">
        <v>234</v>
      </c>
      <c r="Q33" s="2" t="s">
        <v>55</v>
      </c>
      <c r="R33" s="2" t="s">
        <v>34</v>
      </c>
      <c r="S33" s="2">
        <v>0</v>
      </c>
    </row>
    <row r="34" spans="1:19" s="2" customFormat="1" x14ac:dyDescent="0.25">
      <c r="A34" s="2" t="s">
        <v>235</v>
      </c>
      <c r="B34" s="2" t="s">
        <v>236</v>
      </c>
      <c r="C34" s="2" t="s">
        <v>237</v>
      </c>
      <c r="D34" s="2" t="s">
        <v>66</v>
      </c>
      <c r="E34" s="2" t="s">
        <v>37</v>
      </c>
      <c r="F34" s="2" t="s">
        <v>86</v>
      </c>
      <c r="G34" s="2" t="s">
        <v>238</v>
      </c>
      <c r="H34" s="4" t="s">
        <v>239</v>
      </c>
      <c r="I34" s="4" t="s">
        <v>240</v>
      </c>
      <c r="J34" s="4" t="s">
        <v>241</v>
      </c>
      <c r="K34" s="2" t="s">
        <v>29</v>
      </c>
      <c r="L34" s="2" t="s">
        <v>42</v>
      </c>
      <c r="M34" s="4" t="s">
        <v>242</v>
      </c>
      <c r="N34" s="2" t="s">
        <v>29</v>
      </c>
      <c r="O34" s="4" t="s">
        <v>29</v>
      </c>
      <c r="P34" s="4" t="s">
        <v>243</v>
      </c>
      <c r="Q34" s="6" t="s">
        <v>244</v>
      </c>
      <c r="R34" s="2" t="s">
        <v>34</v>
      </c>
      <c r="S34" s="2">
        <v>0</v>
      </c>
    </row>
    <row r="35" spans="1:19" s="2" customFormat="1" x14ac:dyDescent="0.25">
      <c r="A35" s="2" t="s">
        <v>245</v>
      </c>
      <c r="B35" s="2" t="s">
        <v>246</v>
      </c>
      <c r="C35" s="2" t="s">
        <v>237</v>
      </c>
      <c r="D35" s="2" t="s">
        <v>66</v>
      </c>
      <c r="E35" s="2" t="s">
        <v>85</v>
      </c>
      <c r="F35" s="2" t="s">
        <v>142</v>
      </c>
      <c r="G35" s="2" t="s">
        <v>247</v>
      </c>
      <c r="H35" s="4" t="s">
        <v>248</v>
      </c>
      <c r="I35" s="4" t="s">
        <v>249</v>
      </c>
      <c r="J35" s="4" t="s">
        <v>250</v>
      </c>
      <c r="K35" s="2" t="s">
        <v>29</v>
      </c>
      <c r="L35" s="2" t="s">
        <v>251</v>
      </c>
      <c r="M35" s="4" t="s">
        <v>252</v>
      </c>
      <c r="N35" s="2" t="s">
        <v>29</v>
      </c>
      <c r="O35" s="4" t="s">
        <v>29</v>
      </c>
      <c r="P35" s="4" t="s">
        <v>253</v>
      </c>
      <c r="Q35" s="5" t="s">
        <v>33</v>
      </c>
      <c r="R35" s="2" t="s">
        <v>34</v>
      </c>
      <c r="S35" s="2">
        <v>0</v>
      </c>
    </row>
    <row r="36" spans="1:19" s="2" customFormat="1" x14ac:dyDescent="0.25">
      <c r="A36" s="2" t="s">
        <v>254</v>
      </c>
      <c r="B36" s="2" t="s">
        <v>246</v>
      </c>
      <c r="C36" s="2" t="s">
        <v>237</v>
      </c>
      <c r="D36" s="2" t="s">
        <v>66</v>
      </c>
      <c r="E36" s="2" t="s">
        <v>85</v>
      </c>
      <c r="F36" s="2" t="s">
        <v>142</v>
      </c>
      <c r="G36" s="2" t="s">
        <v>255</v>
      </c>
      <c r="H36" s="4" t="s">
        <v>256</v>
      </c>
      <c r="I36" s="4" t="s">
        <v>249</v>
      </c>
      <c r="J36" s="4" t="s">
        <v>250</v>
      </c>
      <c r="K36" s="2" t="s">
        <v>245</v>
      </c>
      <c r="L36" s="2" t="s">
        <v>251</v>
      </c>
      <c r="M36" s="4" t="s">
        <v>252</v>
      </c>
      <c r="N36" s="2" t="s">
        <v>29</v>
      </c>
      <c r="O36" s="4" t="s">
        <v>29</v>
      </c>
      <c r="P36" s="4" t="s">
        <v>253</v>
      </c>
      <c r="Q36" s="5" t="s">
        <v>33</v>
      </c>
      <c r="R36" s="2" t="s">
        <v>34</v>
      </c>
      <c r="S36" s="2">
        <v>0</v>
      </c>
    </row>
    <row r="37" spans="1:19" s="2" customFormat="1" x14ac:dyDescent="0.25">
      <c r="A37" s="2" t="s">
        <v>257</v>
      </c>
      <c r="B37" s="2" t="s">
        <v>246</v>
      </c>
      <c r="C37" s="2" t="s">
        <v>237</v>
      </c>
      <c r="D37" s="2" t="s">
        <v>66</v>
      </c>
      <c r="E37" s="2" t="s">
        <v>49</v>
      </c>
      <c r="F37" s="2" t="s">
        <v>142</v>
      </c>
      <c r="G37" s="2" t="s">
        <v>258</v>
      </c>
      <c r="H37" s="4" t="s">
        <v>259</v>
      </c>
      <c r="I37" s="4" t="s">
        <v>249</v>
      </c>
      <c r="J37" s="4" t="s">
        <v>52</v>
      </c>
      <c r="K37" s="2" t="s">
        <v>260</v>
      </c>
      <c r="L37" s="2" t="s">
        <v>30</v>
      </c>
      <c r="M37" s="4" t="s">
        <v>54</v>
      </c>
      <c r="N37" s="2" t="s">
        <v>29</v>
      </c>
      <c r="O37" s="4" t="s">
        <v>29</v>
      </c>
      <c r="P37" s="4" t="s">
        <v>253</v>
      </c>
      <c r="Q37" s="2" t="s">
        <v>55</v>
      </c>
      <c r="R37" s="2" t="s">
        <v>34</v>
      </c>
      <c r="S37" s="2">
        <v>0</v>
      </c>
    </row>
    <row r="38" spans="1:19" s="2" customFormat="1" x14ac:dyDescent="0.25">
      <c r="A38" s="2" t="s">
        <v>261</v>
      </c>
      <c r="B38" s="2" t="s">
        <v>262</v>
      </c>
      <c r="C38" s="2" t="s">
        <v>237</v>
      </c>
      <c r="D38" s="2" t="s">
        <v>66</v>
      </c>
      <c r="E38" s="2" t="s">
        <v>85</v>
      </c>
      <c r="F38" s="2" t="s">
        <v>67</v>
      </c>
      <c r="G38" s="2" t="s">
        <v>263</v>
      </c>
      <c r="H38" s="4" t="s">
        <v>264</v>
      </c>
      <c r="I38" s="4" t="s">
        <v>265</v>
      </c>
      <c r="J38" s="4" t="s">
        <v>266</v>
      </c>
      <c r="K38" s="2" t="s">
        <v>29</v>
      </c>
      <c r="L38" s="2" t="s">
        <v>251</v>
      </c>
      <c r="M38" s="4" t="s">
        <v>267</v>
      </c>
      <c r="N38" s="2" t="s">
        <v>29</v>
      </c>
      <c r="O38" s="4" t="s">
        <v>29</v>
      </c>
      <c r="P38" s="4" t="s">
        <v>268</v>
      </c>
      <c r="Q38" s="6" t="s">
        <v>244</v>
      </c>
      <c r="R38" s="2" t="s">
        <v>34</v>
      </c>
      <c r="S38" s="2">
        <v>0</v>
      </c>
    </row>
    <row r="39" spans="1:19" s="2" customFormat="1" x14ac:dyDescent="0.25">
      <c r="A39" s="2" t="s">
        <v>269</v>
      </c>
      <c r="B39" s="2" t="s">
        <v>262</v>
      </c>
      <c r="C39" s="2" t="s">
        <v>237</v>
      </c>
      <c r="D39" s="2" t="s">
        <v>66</v>
      </c>
      <c r="E39" s="2" t="s">
        <v>85</v>
      </c>
      <c r="F39" s="2" t="s">
        <v>67</v>
      </c>
      <c r="G39" s="2" t="s">
        <v>270</v>
      </c>
      <c r="H39" s="4" t="s">
        <v>271</v>
      </c>
      <c r="I39" s="4" t="s">
        <v>265</v>
      </c>
      <c r="J39" s="4" t="s">
        <v>266</v>
      </c>
      <c r="K39" s="2" t="s">
        <v>261</v>
      </c>
      <c r="L39" s="2" t="s">
        <v>251</v>
      </c>
      <c r="M39" s="4" t="s">
        <v>267</v>
      </c>
      <c r="N39" s="2" t="s">
        <v>29</v>
      </c>
      <c r="O39" s="4" t="s">
        <v>29</v>
      </c>
      <c r="P39" s="4" t="s">
        <v>268</v>
      </c>
      <c r="Q39" s="6" t="s">
        <v>244</v>
      </c>
      <c r="R39" s="2" t="s">
        <v>34</v>
      </c>
      <c r="S39" s="2">
        <v>0</v>
      </c>
    </row>
    <row r="40" spans="1:19" s="2" customFormat="1" x14ac:dyDescent="0.25">
      <c r="A40" s="2" t="s">
        <v>272</v>
      </c>
      <c r="B40" s="2" t="s">
        <v>262</v>
      </c>
      <c r="C40" s="2" t="s">
        <v>237</v>
      </c>
      <c r="D40" s="2" t="s">
        <v>66</v>
      </c>
      <c r="E40" s="2" t="s">
        <v>49</v>
      </c>
      <c r="F40" s="2" t="s">
        <v>67</v>
      </c>
      <c r="G40" s="2" t="s">
        <v>273</v>
      </c>
      <c r="H40" s="4" t="s">
        <v>274</v>
      </c>
      <c r="I40" s="4" t="s">
        <v>265</v>
      </c>
      <c r="J40" s="4" t="s">
        <v>52</v>
      </c>
      <c r="K40" s="2" t="s">
        <v>275</v>
      </c>
      <c r="L40" s="2" t="s">
        <v>30</v>
      </c>
      <c r="M40" s="4" t="s">
        <v>54</v>
      </c>
      <c r="N40" s="2" t="s">
        <v>29</v>
      </c>
      <c r="O40" s="4" t="s">
        <v>29</v>
      </c>
      <c r="P40" s="4" t="s">
        <v>268</v>
      </c>
      <c r="Q40" s="2" t="s">
        <v>55</v>
      </c>
      <c r="R40" s="2" t="s">
        <v>34</v>
      </c>
      <c r="S40" s="2">
        <v>0</v>
      </c>
    </row>
    <row r="41" spans="1:19" s="2" customFormat="1" x14ac:dyDescent="0.25">
      <c r="A41" s="2" t="s">
        <v>276</v>
      </c>
      <c r="B41" s="2" t="s">
        <v>277</v>
      </c>
      <c r="C41" s="2" t="s">
        <v>237</v>
      </c>
      <c r="D41" s="2" t="s">
        <v>66</v>
      </c>
      <c r="E41" s="2" t="s">
        <v>278</v>
      </c>
      <c r="F41" s="2" t="s">
        <v>24</v>
      </c>
      <c r="G41" s="2" t="s">
        <v>279</v>
      </c>
      <c r="H41" s="4" t="s">
        <v>280</v>
      </c>
      <c r="I41" s="4" t="s">
        <v>281</v>
      </c>
      <c r="J41" s="4" t="s">
        <v>282</v>
      </c>
      <c r="K41" s="2" t="s">
        <v>29</v>
      </c>
      <c r="L41" s="2" t="s">
        <v>42</v>
      </c>
      <c r="M41" s="4" t="s">
        <v>283</v>
      </c>
      <c r="N41" s="2" t="s">
        <v>29</v>
      </c>
      <c r="O41" s="4" t="s">
        <v>29</v>
      </c>
      <c r="P41" s="4" t="s">
        <v>284</v>
      </c>
      <c r="Q41" s="5" t="s">
        <v>33</v>
      </c>
      <c r="R41" s="2" t="s">
        <v>34</v>
      </c>
      <c r="S41" s="2">
        <v>0</v>
      </c>
    </row>
    <row r="42" spans="1:19" s="2" customFormat="1" x14ac:dyDescent="0.25">
      <c r="A42" s="2" t="s">
        <v>285</v>
      </c>
      <c r="B42" s="2" t="s">
        <v>277</v>
      </c>
      <c r="C42" s="2" t="s">
        <v>237</v>
      </c>
      <c r="D42" s="2" t="s">
        <v>66</v>
      </c>
      <c r="E42" s="2" t="s">
        <v>278</v>
      </c>
      <c r="F42" s="2" t="s">
        <v>24</v>
      </c>
      <c r="G42" s="2" t="s">
        <v>286</v>
      </c>
      <c r="H42" s="4" t="s">
        <v>287</v>
      </c>
      <c r="I42" s="4" t="s">
        <v>281</v>
      </c>
      <c r="J42" s="4" t="s">
        <v>282</v>
      </c>
      <c r="K42" s="2" t="s">
        <v>276</v>
      </c>
      <c r="L42" s="2" t="s">
        <v>42</v>
      </c>
      <c r="M42" s="4" t="s">
        <v>283</v>
      </c>
      <c r="N42" s="2" t="s">
        <v>29</v>
      </c>
      <c r="O42" s="4" t="s">
        <v>29</v>
      </c>
      <c r="P42" s="4" t="s">
        <v>284</v>
      </c>
      <c r="Q42" s="5" t="s">
        <v>33</v>
      </c>
      <c r="R42" s="2" t="s">
        <v>34</v>
      </c>
      <c r="S42" s="2">
        <v>0</v>
      </c>
    </row>
    <row r="43" spans="1:19" s="2" customFormat="1" x14ac:dyDescent="0.25">
      <c r="A43" s="2" t="s">
        <v>288</v>
      </c>
      <c r="B43" s="2" t="s">
        <v>277</v>
      </c>
      <c r="C43" s="2" t="s">
        <v>237</v>
      </c>
      <c r="D43" s="2" t="s">
        <v>66</v>
      </c>
      <c r="E43" s="2" t="s">
        <v>49</v>
      </c>
      <c r="F43" s="2" t="s">
        <v>24</v>
      </c>
      <c r="G43" s="2" t="s">
        <v>289</v>
      </c>
      <c r="H43" s="4" t="s">
        <v>290</v>
      </c>
      <c r="I43" s="4" t="s">
        <v>281</v>
      </c>
      <c r="J43" s="4" t="s">
        <v>52</v>
      </c>
      <c r="K43" s="2" t="s">
        <v>291</v>
      </c>
      <c r="L43" s="2" t="s">
        <v>30</v>
      </c>
      <c r="M43" s="4" t="s">
        <v>54</v>
      </c>
      <c r="N43" s="2" t="s">
        <v>29</v>
      </c>
      <c r="O43" s="4" t="s">
        <v>29</v>
      </c>
      <c r="P43" s="4" t="s">
        <v>284</v>
      </c>
      <c r="Q43" s="2" t="s">
        <v>55</v>
      </c>
      <c r="R43" s="2" t="s">
        <v>34</v>
      </c>
      <c r="S43" s="2">
        <v>0</v>
      </c>
    </row>
    <row r="44" spans="1:19" s="2" customFormat="1" x14ac:dyDescent="0.25">
      <c r="A44" s="2" t="s">
        <v>292</v>
      </c>
      <c r="B44" s="2" t="s">
        <v>293</v>
      </c>
      <c r="C44" s="2" t="s">
        <v>237</v>
      </c>
      <c r="D44" s="2" t="s">
        <v>66</v>
      </c>
      <c r="E44" s="2" t="s">
        <v>37</v>
      </c>
      <c r="F44" s="2" t="s">
        <v>294</v>
      </c>
      <c r="G44" s="2" t="s">
        <v>295</v>
      </c>
      <c r="H44" s="4" t="s">
        <v>296</v>
      </c>
      <c r="I44" s="4" t="s">
        <v>297</v>
      </c>
      <c r="J44" s="4" t="s">
        <v>298</v>
      </c>
      <c r="K44" s="2" t="s">
        <v>29</v>
      </c>
      <c r="L44" s="2" t="s">
        <v>251</v>
      </c>
      <c r="M44" s="4" t="s">
        <v>299</v>
      </c>
      <c r="N44" s="2" t="s">
        <v>29</v>
      </c>
      <c r="O44" s="4" t="s">
        <v>29</v>
      </c>
      <c r="P44" s="4" t="s">
        <v>300</v>
      </c>
      <c r="Q44" s="5" t="s">
        <v>33</v>
      </c>
      <c r="R44" s="2" t="s">
        <v>34</v>
      </c>
      <c r="S44" s="2">
        <v>0</v>
      </c>
    </row>
    <row r="45" spans="1:19" s="2" customFormat="1" x14ac:dyDescent="0.25">
      <c r="A45" s="2" t="s">
        <v>301</v>
      </c>
      <c r="B45" s="2" t="s">
        <v>293</v>
      </c>
      <c r="C45" s="2" t="s">
        <v>237</v>
      </c>
      <c r="D45" s="2" t="s">
        <v>66</v>
      </c>
      <c r="E45" s="2" t="s">
        <v>37</v>
      </c>
      <c r="F45" s="2" t="s">
        <v>294</v>
      </c>
      <c r="G45" s="2" t="s">
        <v>302</v>
      </c>
      <c r="H45" s="4" t="s">
        <v>303</v>
      </c>
      <c r="I45" s="4" t="s">
        <v>297</v>
      </c>
      <c r="J45" s="4" t="s">
        <v>298</v>
      </c>
      <c r="K45" s="2" t="s">
        <v>292</v>
      </c>
      <c r="L45" s="2" t="s">
        <v>251</v>
      </c>
      <c r="M45" s="4" t="s">
        <v>299</v>
      </c>
      <c r="N45" s="2" t="s">
        <v>29</v>
      </c>
      <c r="O45" s="4" t="s">
        <v>29</v>
      </c>
      <c r="P45" s="4" t="s">
        <v>300</v>
      </c>
      <c r="Q45" s="5" t="s">
        <v>33</v>
      </c>
      <c r="R45" s="2" t="s">
        <v>34</v>
      </c>
      <c r="S45" s="2">
        <v>0</v>
      </c>
    </row>
    <row r="46" spans="1:19" s="2" customFormat="1" x14ac:dyDescent="0.25">
      <c r="A46" s="2" t="s">
        <v>304</v>
      </c>
      <c r="B46" s="2" t="s">
        <v>293</v>
      </c>
      <c r="C46" s="2" t="s">
        <v>237</v>
      </c>
      <c r="D46" s="2" t="s">
        <v>66</v>
      </c>
      <c r="E46" s="2" t="s">
        <v>49</v>
      </c>
      <c r="F46" s="2" t="s">
        <v>294</v>
      </c>
      <c r="G46" s="2" t="s">
        <v>305</v>
      </c>
      <c r="H46" s="4" t="s">
        <v>306</v>
      </c>
      <c r="I46" s="4" t="s">
        <v>297</v>
      </c>
      <c r="J46" s="4" t="s">
        <v>52</v>
      </c>
      <c r="K46" s="2" t="s">
        <v>307</v>
      </c>
      <c r="L46" s="2" t="s">
        <v>30</v>
      </c>
      <c r="M46" s="4" t="s">
        <v>54</v>
      </c>
      <c r="N46" s="2" t="s">
        <v>29</v>
      </c>
      <c r="O46" s="4" t="s">
        <v>29</v>
      </c>
      <c r="P46" s="4" t="s">
        <v>300</v>
      </c>
      <c r="Q46" s="2" t="s">
        <v>55</v>
      </c>
      <c r="R46" s="2" t="s">
        <v>34</v>
      </c>
      <c r="S46" s="2">
        <v>0</v>
      </c>
    </row>
    <row r="47" spans="1:19" s="2" customFormat="1" x14ac:dyDescent="0.25">
      <c r="A47" s="2" t="s">
        <v>308</v>
      </c>
      <c r="B47" s="2" t="s">
        <v>309</v>
      </c>
      <c r="C47" s="2" t="s">
        <v>237</v>
      </c>
      <c r="D47" s="2" t="s">
        <v>66</v>
      </c>
      <c r="E47" s="2" t="s">
        <v>278</v>
      </c>
      <c r="F47" s="2" t="s">
        <v>86</v>
      </c>
      <c r="G47" s="2" t="s">
        <v>310</v>
      </c>
      <c r="H47" s="4" t="s">
        <v>311</v>
      </c>
      <c r="I47" s="4" t="s">
        <v>312</v>
      </c>
      <c r="J47" s="4" t="s">
        <v>313</v>
      </c>
      <c r="K47" s="2" t="s">
        <v>29</v>
      </c>
      <c r="L47" s="2" t="s">
        <v>251</v>
      </c>
      <c r="M47" s="4" t="s">
        <v>314</v>
      </c>
      <c r="N47" s="2" t="s">
        <v>29</v>
      </c>
      <c r="O47" s="4" t="s">
        <v>29</v>
      </c>
      <c r="P47" s="4" t="s">
        <v>315</v>
      </c>
      <c r="Q47" s="6" t="s">
        <v>244</v>
      </c>
      <c r="R47" s="2" t="s">
        <v>34</v>
      </c>
      <c r="S47" s="2">
        <v>0</v>
      </c>
    </row>
    <row r="48" spans="1:19" s="2" customFormat="1" x14ac:dyDescent="0.25">
      <c r="A48" s="2" t="s">
        <v>316</v>
      </c>
      <c r="B48" s="2" t="s">
        <v>309</v>
      </c>
      <c r="C48" s="2" t="s">
        <v>237</v>
      </c>
      <c r="D48" s="2" t="s">
        <v>66</v>
      </c>
      <c r="E48" s="2" t="s">
        <v>278</v>
      </c>
      <c r="F48" s="2" t="s">
        <v>86</v>
      </c>
      <c r="G48" s="2" t="s">
        <v>317</v>
      </c>
      <c r="H48" s="4" t="s">
        <v>318</v>
      </c>
      <c r="I48" s="4" t="s">
        <v>312</v>
      </c>
      <c r="J48" s="4" t="s">
        <v>313</v>
      </c>
      <c r="K48" s="2" t="s">
        <v>308</v>
      </c>
      <c r="L48" s="2" t="s">
        <v>251</v>
      </c>
      <c r="M48" s="4" t="s">
        <v>314</v>
      </c>
      <c r="N48" s="2" t="s">
        <v>29</v>
      </c>
      <c r="O48" s="4" t="s">
        <v>29</v>
      </c>
      <c r="P48" s="4" t="s">
        <v>315</v>
      </c>
      <c r="Q48" s="6" t="s">
        <v>244</v>
      </c>
      <c r="R48" s="2" t="s">
        <v>34</v>
      </c>
      <c r="S48" s="2">
        <v>0</v>
      </c>
    </row>
    <row r="49" spans="1:19" s="2" customFormat="1" x14ac:dyDescent="0.25">
      <c r="A49" s="2" t="s">
        <v>319</v>
      </c>
      <c r="B49" s="2" t="s">
        <v>309</v>
      </c>
      <c r="C49" s="2" t="s">
        <v>237</v>
      </c>
      <c r="D49" s="2" t="s">
        <v>66</v>
      </c>
      <c r="E49" s="2" t="s">
        <v>49</v>
      </c>
      <c r="F49" s="2" t="s">
        <v>86</v>
      </c>
      <c r="G49" s="2" t="s">
        <v>320</v>
      </c>
      <c r="H49" s="4" t="s">
        <v>321</v>
      </c>
      <c r="I49" s="4" t="s">
        <v>312</v>
      </c>
      <c r="J49" s="4" t="s">
        <v>52</v>
      </c>
      <c r="K49" s="2" t="s">
        <v>322</v>
      </c>
      <c r="L49" s="2" t="s">
        <v>30</v>
      </c>
      <c r="M49" s="4" t="s">
        <v>54</v>
      </c>
      <c r="N49" s="2" t="s">
        <v>29</v>
      </c>
      <c r="O49" s="4" t="s">
        <v>29</v>
      </c>
      <c r="P49" s="4" t="s">
        <v>315</v>
      </c>
      <c r="Q49" s="2" t="s">
        <v>55</v>
      </c>
      <c r="R49" s="2" t="s">
        <v>34</v>
      </c>
      <c r="S49" s="2">
        <v>0</v>
      </c>
    </row>
    <row r="50" spans="1:19" s="2" customFormat="1" x14ac:dyDescent="0.25">
      <c r="A50" s="2" t="s">
        <v>323</v>
      </c>
      <c r="B50" s="2" t="s">
        <v>324</v>
      </c>
      <c r="C50" s="2" t="s">
        <v>237</v>
      </c>
      <c r="D50" s="2" t="s">
        <v>66</v>
      </c>
      <c r="E50" s="2" t="s">
        <v>325</v>
      </c>
      <c r="F50" s="2" t="s">
        <v>86</v>
      </c>
      <c r="G50" s="2" t="s">
        <v>326</v>
      </c>
      <c r="H50" s="4" t="s">
        <v>327</v>
      </c>
      <c r="I50" s="4" t="s">
        <v>328</v>
      </c>
      <c r="J50" s="4" t="s">
        <v>329</v>
      </c>
      <c r="K50" s="2" t="s">
        <v>29</v>
      </c>
      <c r="L50" s="2" t="s">
        <v>251</v>
      </c>
      <c r="M50" s="4" t="s">
        <v>330</v>
      </c>
      <c r="N50" s="2" t="s">
        <v>29</v>
      </c>
      <c r="O50" s="4" t="s">
        <v>29</v>
      </c>
      <c r="P50" s="4" t="s">
        <v>331</v>
      </c>
      <c r="Q50" s="6" t="s">
        <v>244</v>
      </c>
      <c r="R50" s="2" t="s">
        <v>34</v>
      </c>
      <c r="S50" s="2">
        <v>0</v>
      </c>
    </row>
    <row r="51" spans="1:19" s="2" customFormat="1" x14ac:dyDescent="0.25">
      <c r="A51" s="2" t="s">
        <v>332</v>
      </c>
      <c r="B51" s="2" t="s">
        <v>324</v>
      </c>
      <c r="C51" s="2" t="s">
        <v>237</v>
      </c>
      <c r="D51" s="2" t="s">
        <v>66</v>
      </c>
      <c r="E51" s="2" t="s">
        <v>325</v>
      </c>
      <c r="F51" s="2" t="s">
        <v>86</v>
      </c>
      <c r="G51" s="2" t="s">
        <v>333</v>
      </c>
      <c r="H51" s="4" t="s">
        <v>334</v>
      </c>
      <c r="I51" s="4" t="s">
        <v>328</v>
      </c>
      <c r="J51" s="4" t="s">
        <v>329</v>
      </c>
      <c r="K51" s="2" t="s">
        <v>323</v>
      </c>
      <c r="L51" s="2" t="s">
        <v>251</v>
      </c>
      <c r="M51" s="4" t="s">
        <v>330</v>
      </c>
      <c r="N51" s="2" t="s">
        <v>29</v>
      </c>
      <c r="O51" s="4" t="s">
        <v>29</v>
      </c>
      <c r="P51" s="4" t="s">
        <v>331</v>
      </c>
      <c r="Q51" s="6" t="s">
        <v>244</v>
      </c>
      <c r="R51" s="2" t="s">
        <v>34</v>
      </c>
      <c r="S51" s="2">
        <v>0</v>
      </c>
    </row>
    <row r="52" spans="1:19" s="2" customFormat="1" x14ac:dyDescent="0.25">
      <c r="A52" s="2" t="s">
        <v>335</v>
      </c>
      <c r="B52" s="2" t="s">
        <v>324</v>
      </c>
      <c r="C52" s="2" t="s">
        <v>237</v>
      </c>
      <c r="D52" s="2" t="s">
        <v>66</v>
      </c>
      <c r="E52" s="2" t="s">
        <v>49</v>
      </c>
      <c r="F52" s="2" t="s">
        <v>86</v>
      </c>
      <c r="G52" s="2" t="s">
        <v>336</v>
      </c>
      <c r="H52" s="4" t="s">
        <v>337</v>
      </c>
      <c r="I52" s="4" t="s">
        <v>328</v>
      </c>
      <c r="J52" s="4" t="s">
        <v>52</v>
      </c>
      <c r="K52" s="2" t="s">
        <v>338</v>
      </c>
      <c r="L52" s="2" t="s">
        <v>30</v>
      </c>
      <c r="M52" s="4" t="s">
        <v>54</v>
      </c>
      <c r="N52" s="2" t="s">
        <v>29</v>
      </c>
      <c r="O52" s="4" t="s">
        <v>29</v>
      </c>
      <c r="P52" s="4" t="s">
        <v>331</v>
      </c>
      <c r="Q52" s="2" t="s">
        <v>55</v>
      </c>
      <c r="R52" s="2" t="s">
        <v>34</v>
      </c>
      <c r="S52" s="2">
        <v>0</v>
      </c>
    </row>
    <row r="53" spans="1:19" s="2" customFormat="1" x14ac:dyDescent="0.25">
      <c r="A53" s="2" t="s">
        <v>339</v>
      </c>
      <c r="B53" s="2" t="s">
        <v>340</v>
      </c>
      <c r="C53" s="2" t="s">
        <v>237</v>
      </c>
      <c r="D53" s="2" t="s">
        <v>110</v>
      </c>
      <c r="E53" s="2" t="s">
        <v>23</v>
      </c>
      <c r="F53" s="2" t="s">
        <v>142</v>
      </c>
      <c r="G53" s="2" t="s">
        <v>341</v>
      </c>
      <c r="H53" s="4" t="s">
        <v>342</v>
      </c>
      <c r="I53" s="4" t="s">
        <v>343</v>
      </c>
      <c r="J53" s="4" t="s">
        <v>344</v>
      </c>
      <c r="K53" s="2" t="s">
        <v>29</v>
      </c>
      <c r="L53" s="2" t="s">
        <v>30</v>
      </c>
      <c r="M53" s="4" t="s">
        <v>345</v>
      </c>
      <c r="N53" s="2" t="s">
        <v>29</v>
      </c>
      <c r="O53" s="4" t="s">
        <v>29</v>
      </c>
      <c r="P53" s="4" t="s">
        <v>346</v>
      </c>
      <c r="Q53" s="2" t="s">
        <v>55</v>
      </c>
      <c r="R53" s="2" t="s">
        <v>34</v>
      </c>
      <c r="S53" s="2">
        <v>0</v>
      </c>
    </row>
    <row r="54" spans="1:19" s="2" customFormat="1" x14ac:dyDescent="0.25">
      <c r="A54" s="2" t="s">
        <v>347</v>
      </c>
      <c r="B54" s="2" t="s">
        <v>348</v>
      </c>
      <c r="C54" s="2" t="s">
        <v>237</v>
      </c>
      <c r="D54" s="2" t="s">
        <v>110</v>
      </c>
      <c r="E54" s="2" t="s">
        <v>278</v>
      </c>
      <c r="F54" s="2" t="s">
        <v>86</v>
      </c>
      <c r="G54" s="2" t="s">
        <v>349</v>
      </c>
      <c r="H54" s="4" t="s">
        <v>350</v>
      </c>
      <c r="I54" s="4" t="s">
        <v>351</v>
      </c>
      <c r="J54" s="4" t="s">
        <v>352</v>
      </c>
      <c r="K54" s="2" t="s">
        <v>29</v>
      </c>
      <c r="L54" s="2" t="s">
        <v>42</v>
      </c>
      <c r="M54" s="4" t="s">
        <v>353</v>
      </c>
      <c r="N54" s="2" t="s">
        <v>29</v>
      </c>
      <c r="O54" s="4" t="s">
        <v>29</v>
      </c>
      <c r="P54" s="4" t="s">
        <v>354</v>
      </c>
      <c r="Q54" s="2" t="s">
        <v>55</v>
      </c>
      <c r="R54" s="2" t="s">
        <v>34</v>
      </c>
      <c r="S54" s="2">
        <v>0</v>
      </c>
    </row>
    <row r="55" spans="1:19" s="2" customFormat="1" x14ac:dyDescent="0.25">
      <c r="A55" s="2" t="s">
        <v>355</v>
      </c>
      <c r="B55" s="2" t="s">
        <v>356</v>
      </c>
      <c r="C55" s="2" t="s">
        <v>237</v>
      </c>
      <c r="D55" s="2" t="s">
        <v>110</v>
      </c>
      <c r="E55" s="2" t="s">
        <v>278</v>
      </c>
      <c r="F55" s="2" t="s">
        <v>86</v>
      </c>
      <c r="G55" s="2" t="s">
        <v>357</v>
      </c>
      <c r="H55" s="4" t="s">
        <v>358</v>
      </c>
      <c r="I55" s="4" t="s">
        <v>359</v>
      </c>
      <c r="J55" s="4" t="s">
        <v>360</v>
      </c>
      <c r="K55" s="2" t="s">
        <v>29</v>
      </c>
      <c r="L55" s="2" t="s">
        <v>42</v>
      </c>
      <c r="M55" s="4" t="s">
        <v>361</v>
      </c>
      <c r="N55" s="2" t="s">
        <v>29</v>
      </c>
      <c r="O55" s="4" t="s">
        <v>29</v>
      </c>
      <c r="P55" s="4" t="s">
        <v>362</v>
      </c>
      <c r="Q55" s="2" t="s">
        <v>55</v>
      </c>
      <c r="R55" s="2" t="s">
        <v>34</v>
      </c>
      <c r="S55" s="2">
        <v>0</v>
      </c>
    </row>
    <row r="56" spans="1:19" s="2" customFormat="1" x14ac:dyDescent="0.25">
      <c r="A56" s="2" t="s">
        <v>363</v>
      </c>
      <c r="B56" s="2" t="s">
        <v>364</v>
      </c>
      <c r="C56" s="2" t="s">
        <v>237</v>
      </c>
      <c r="D56" s="2" t="s">
        <v>110</v>
      </c>
      <c r="E56" s="2" t="s">
        <v>278</v>
      </c>
      <c r="F56" s="2" t="s">
        <v>86</v>
      </c>
      <c r="G56" s="2" t="s">
        <v>365</v>
      </c>
      <c r="H56" s="4" t="s">
        <v>366</v>
      </c>
      <c r="I56" s="4" t="s">
        <v>367</v>
      </c>
      <c r="J56" s="4" t="s">
        <v>368</v>
      </c>
      <c r="K56" s="2" t="s">
        <v>29</v>
      </c>
      <c r="L56" s="2" t="s">
        <v>42</v>
      </c>
      <c r="M56" s="4" t="s">
        <v>369</v>
      </c>
      <c r="N56" s="2" t="s">
        <v>29</v>
      </c>
      <c r="O56" s="4" t="s">
        <v>29</v>
      </c>
      <c r="P56" s="4" t="s">
        <v>370</v>
      </c>
      <c r="Q56" s="2" t="s">
        <v>55</v>
      </c>
      <c r="R56" s="2" t="s">
        <v>34</v>
      </c>
      <c r="S56" s="2">
        <v>0</v>
      </c>
    </row>
    <row r="57" spans="1:19" s="2" customFormat="1" x14ac:dyDescent="0.25">
      <c r="A57" s="2" t="s">
        <v>371</v>
      </c>
      <c r="B57" s="2" t="s">
        <v>372</v>
      </c>
      <c r="C57" s="2" t="s">
        <v>237</v>
      </c>
      <c r="D57" s="2" t="s">
        <v>110</v>
      </c>
      <c r="E57" s="2" t="s">
        <v>278</v>
      </c>
      <c r="F57" s="2" t="s">
        <v>86</v>
      </c>
      <c r="G57" s="2" t="s">
        <v>373</v>
      </c>
      <c r="H57" s="4" t="s">
        <v>374</v>
      </c>
      <c r="I57" s="4" t="s">
        <v>375</v>
      </c>
      <c r="J57" s="4" t="s">
        <v>376</v>
      </c>
      <c r="K57" s="2" t="s">
        <v>29</v>
      </c>
      <c r="L57" s="2" t="s">
        <v>30</v>
      </c>
      <c r="M57" s="4" t="s">
        <v>377</v>
      </c>
      <c r="N57" s="2" t="s">
        <v>29</v>
      </c>
      <c r="O57" s="4" t="s">
        <v>29</v>
      </c>
      <c r="P57" s="4" t="s">
        <v>378</v>
      </c>
      <c r="Q57" s="2" t="s">
        <v>55</v>
      </c>
      <c r="R57" s="2" t="s">
        <v>34</v>
      </c>
      <c r="S57" s="2">
        <v>0</v>
      </c>
    </row>
    <row r="58" spans="1:19" s="2" customFormat="1" x14ac:dyDescent="0.25">
      <c r="A58" s="2" t="s">
        <v>379</v>
      </c>
      <c r="B58" s="2" t="s">
        <v>380</v>
      </c>
      <c r="C58" s="2" t="s">
        <v>237</v>
      </c>
      <c r="D58" s="2" t="s">
        <v>110</v>
      </c>
      <c r="E58" s="2" t="s">
        <v>278</v>
      </c>
      <c r="F58" s="2" t="s">
        <v>86</v>
      </c>
      <c r="G58" s="2" t="s">
        <v>381</v>
      </c>
      <c r="H58" s="4" t="s">
        <v>382</v>
      </c>
      <c r="I58" s="4" t="s">
        <v>383</v>
      </c>
      <c r="J58" s="4" t="s">
        <v>384</v>
      </c>
      <c r="K58" s="2" t="s">
        <v>29</v>
      </c>
      <c r="L58" s="2" t="s">
        <v>42</v>
      </c>
      <c r="M58" s="4" t="s">
        <v>385</v>
      </c>
      <c r="N58" s="2" t="s">
        <v>29</v>
      </c>
      <c r="O58" s="4" t="s">
        <v>29</v>
      </c>
      <c r="P58" s="4" t="s">
        <v>386</v>
      </c>
      <c r="Q58" s="6" t="s">
        <v>244</v>
      </c>
      <c r="R58" s="2" t="s">
        <v>34</v>
      </c>
      <c r="S58" s="2">
        <v>0</v>
      </c>
    </row>
    <row r="59" spans="1:19" s="2" customFormat="1" x14ac:dyDescent="0.25">
      <c r="A59" s="2" t="s">
        <v>387</v>
      </c>
      <c r="B59" s="2" t="s">
        <v>388</v>
      </c>
      <c r="C59" s="2" t="s">
        <v>237</v>
      </c>
      <c r="D59" s="2" t="s">
        <v>110</v>
      </c>
      <c r="E59" s="2" t="s">
        <v>325</v>
      </c>
      <c r="F59" s="2" t="s">
        <v>86</v>
      </c>
      <c r="G59" s="2" t="s">
        <v>389</v>
      </c>
      <c r="H59" s="4" t="s">
        <v>390</v>
      </c>
      <c r="I59" s="4" t="s">
        <v>391</v>
      </c>
      <c r="J59" s="4" t="s">
        <v>392</v>
      </c>
      <c r="K59" s="2" t="s">
        <v>29</v>
      </c>
      <c r="L59" s="2" t="s">
        <v>42</v>
      </c>
      <c r="M59" s="4" t="s">
        <v>393</v>
      </c>
      <c r="N59" s="2" t="s">
        <v>29</v>
      </c>
      <c r="O59" s="4" t="s">
        <v>29</v>
      </c>
      <c r="P59" s="4" t="s">
        <v>394</v>
      </c>
      <c r="Q59" s="2" t="s">
        <v>55</v>
      </c>
      <c r="R59" s="2" t="s">
        <v>34</v>
      </c>
      <c r="S59" s="2">
        <v>0</v>
      </c>
    </row>
    <row r="60" spans="1:19" s="2" customFormat="1" x14ac:dyDescent="0.25">
      <c r="A60" s="2" t="s">
        <v>395</v>
      </c>
      <c r="B60" s="2" t="s">
        <v>396</v>
      </c>
      <c r="C60" s="2" t="s">
        <v>237</v>
      </c>
      <c r="D60" s="2" t="s">
        <v>110</v>
      </c>
      <c r="E60" s="2" t="s">
        <v>325</v>
      </c>
      <c r="F60" s="2" t="s">
        <v>86</v>
      </c>
      <c r="G60" s="2" t="s">
        <v>397</v>
      </c>
      <c r="H60" s="4" t="s">
        <v>398</v>
      </c>
      <c r="I60" s="4" t="s">
        <v>399</v>
      </c>
      <c r="J60" s="4" t="s">
        <v>400</v>
      </c>
      <c r="K60" s="2" t="s">
        <v>29</v>
      </c>
      <c r="L60" s="2" t="s">
        <v>42</v>
      </c>
      <c r="M60" s="4" t="s">
        <v>401</v>
      </c>
      <c r="N60" s="2" t="s">
        <v>29</v>
      </c>
      <c r="O60" s="4" t="s">
        <v>29</v>
      </c>
      <c r="P60" s="4" t="s">
        <v>402</v>
      </c>
      <c r="Q60" s="2" t="s">
        <v>55</v>
      </c>
      <c r="R60" s="2" t="s">
        <v>34</v>
      </c>
      <c r="S60" s="2">
        <v>0</v>
      </c>
    </row>
    <row r="61" spans="1:19" s="2" customFormat="1" x14ac:dyDescent="0.25">
      <c r="A61" s="2" t="s">
        <v>403</v>
      </c>
      <c r="B61" s="2" t="s">
        <v>404</v>
      </c>
      <c r="C61" s="2" t="s">
        <v>237</v>
      </c>
      <c r="D61" s="2" t="s">
        <v>110</v>
      </c>
      <c r="E61" s="2" t="s">
        <v>325</v>
      </c>
      <c r="F61" s="2" t="s">
        <v>86</v>
      </c>
      <c r="G61" s="2" t="s">
        <v>405</v>
      </c>
      <c r="H61" s="4" t="s">
        <v>406</v>
      </c>
      <c r="I61" s="4" t="s">
        <v>407</v>
      </c>
      <c r="J61" s="4" t="s">
        <v>408</v>
      </c>
      <c r="K61" s="2" t="s">
        <v>29</v>
      </c>
      <c r="L61" s="2" t="s">
        <v>42</v>
      </c>
      <c r="M61" s="4" t="s">
        <v>409</v>
      </c>
      <c r="N61" s="2" t="s">
        <v>29</v>
      </c>
      <c r="O61" s="4" t="s">
        <v>29</v>
      </c>
      <c r="P61" s="4" t="s">
        <v>410</v>
      </c>
      <c r="Q61" s="2" t="s">
        <v>55</v>
      </c>
      <c r="R61" s="2" t="s">
        <v>34</v>
      </c>
      <c r="S61" s="2">
        <v>0</v>
      </c>
    </row>
    <row r="62" spans="1:19" s="2" customFormat="1" x14ac:dyDescent="0.25">
      <c r="A62" s="2" t="s">
        <v>411</v>
      </c>
      <c r="B62" s="2" t="s">
        <v>412</v>
      </c>
      <c r="C62" s="2" t="s">
        <v>237</v>
      </c>
      <c r="D62" s="2" t="s">
        <v>110</v>
      </c>
      <c r="E62" s="2" t="s">
        <v>325</v>
      </c>
      <c r="F62" s="2" t="s">
        <v>86</v>
      </c>
      <c r="G62" s="2" t="s">
        <v>413</v>
      </c>
      <c r="H62" s="4" t="s">
        <v>414</v>
      </c>
      <c r="I62" s="4" t="s">
        <v>415</v>
      </c>
      <c r="J62" s="4" t="s">
        <v>416</v>
      </c>
      <c r="K62" s="2" t="s">
        <v>29</v>
      </c>
      <c r="L62" s="2" t="s">
        <v>42</v>
      </c>
      <c r="M62" s="4" t="s">
        <v>417</v>
      </c>
      <c r="N62" s="2" t="s">
        <v>29</v>
      </c>
      <c r="O62" s="4" t="s">
        <v>29</v>
      </c>
      <c r="P62" s="4" t="s">
        <v>418</v>
      </c>
      <c r="Q62" s="6" t="s">
        <v>244</v>
      </c>
      <c r="R62" s="2" t="s">
        <v>34</v>
      </c>
      <c r="S62" s="2">
        <v>0</v>
      </c>
    </row>
    <row r="63" spans="1:19" s="2" customFormat="1" x14ac:dyDescent="0.25">
      <c r="A63" s="2" t="s">
        <v>419</v>
      </c>
      <c r="B63" s="2" t="s">
        <v>420</v>
      </c>
      <c r="C63" s="2" t="s">
        <v>237</v>
      </c>
      <c r="D63" s="2" t="s">
        <v>110</v>
      </c>
      <c r="E63" s="2" t="s">
        <v>325</v>
      </c>
      <c r="F63" s="2" t="s">
        <v>86</v>
      </c>
      <c r="G63" s="2" t="s">
        <v>421</v>
      </c>
      <c r="H63" s="4" t="s">
        <v>422</v>
      </c>
      <c r="I63" s="4" t="s">
        <v>423</v>
      </c>
      <c r="J63" s="4" t="s">
        <v>424</v>
      </c>
      <c r="K63" s="2" t="s">
        <v>29</v>
      </c>
      <c r="L63" s="2" t="s">
        <v>42</v>
      </c>
      <c r="M63" s="4" t="s">
        <v>425</v>
      </c>
      <c r="N63" s="2" t="s">
        <v>29</v>
      </c>
      <c r="O63" s="4" t="s">
        <v>29</v>
      </c>
      <c r="P63" s="4" t="s">
        <v>426</v>
      </c>
      <c r="Q63" s="2" t="s">
        <v>55</v>
      </c>
      <c r="R63" s="2" t="s">
        <v>34</v>
      </c>
      <c r="S63" s="2">
        <v>0</v>
      </c>
    </row>
    <row r="64" spans="1:19" s="2" customFormat="1" x14ac:dyDescent="0.25">
      <c r="A64" s="2" t="s">
        <v>427</v>
      </c>
      <c r="B64" s="2" t="s">
        <v>428</v>
      </c>
      <c r="C64" s="2" t="s">
        <v>237</v>
      </c>
      <c r="D64" s="2" t="s">
        <v>110</v>
      </c>
      <c r="E64" s="2" t="s">
        <v>325</v>
      </c>
      <c r="F64" s="2" t="s">
        <v>86</v>
      </c>
      <c r="G64" s="2" t="s">
        <v>429</v>
      </c>
      <c r="H64" s="4" t="s">
        <v>430</v>
      </c>
      <c r="I64" s="4" t="s">
        <v>431</v>
      </c>
      <c r="J64" s="4" t="s">
        <v>432</v>
      </c>
      <c r="K64" s="2" t="s">
        <v>29</v>
      </c>
      <c r="L64" s="2" t="s">
        <v>42</v>
      </c>
      <c r="M64" s="4" t="s">
        <v>433</v>
      </c>
      <c r="N64" s="2" t="s">
        <v>29</v>
      </c>
      <c r="O64" s="4" t="s">
        <v>29</v>
      </c>
      <c r="P64" s="4" t="s">
        <v>434</v>
      </c>
      <c r="Q64" s="2" t="s">
        <v>55</v>
      </c>
      <c r="R64" s="2" t="s">
        <v>34</v>
      </c>
      <c r="S64" s="2">
        <v>0</v>
      </c>
    </row>
    <row r="65" spans="1:19" s="2" customFormat="1" x14ac:dyDescent="0.25">
      <c r="A65" s="2" t="s">
        <v>435</v>
      </c>
      <c r="B65" s="2" t="s">
        <v>436</v>
      </c>
      <c r="C65" s="2" t="s">
        <v>237</v>
      </c>
      <c r="D65" s="2" t="s">
        <v>110</v>
      </c>
      <c r="E65" s="2" t="s">
        <v>198</v>
      </c>
      <c r="F65" s="2" t="s">
        <v>86</v>
      </c>
      <c r="G65" s="2" t="s">
        <v>437</v>
      </c>
      <c r="H65" s="4" t="s">
        <v>438</v>
      </c>
      <c r="I65" s="4" t="s">
        <v>439</v>
      </c>
      <c r="J65" s="4" t="s">
        <v>440</v>
      </c>
      <c r="K65" s="2" t="s">
        <v>29</v>
      </c>
      <c r="L65" s="2" t="s">
        <v>42</v>
      </c>
      <c r="M65" s="4" t="s">
        <v>441</v>
      </c>
      <c r="N65" s="2" t="s">
        <v>29</v>
      </c>
      <c r="O65" s="4" t="s">
        <v>29</v>
      </c>
      <c r="P65" s="4" t="s">
        <v>92</v>
      </c>
      <c r="Q65" s="6" t="s">
        <v>244</v>
      </c>
      <c r="R65" s="2" t="s">
        <v>34</v>
      </c>
      <c r="S65" s="2">
        <v>0</v>
      </c>
    </row>
    <row r="66" spans="1:19" s="2" customFormat="1" x14ac:dyDescent="0.25">
      <c r="A66" s="2" t="s">
        <v>442</v>
      </c>
      <c r="B66" s="2" t="s">
        <v>436</v>
      </c>
      <c r="C66" s="2" t="s">
        <v>237</v>
      </c>
      <c r="D66" s="2" t="s">
        <v>110</v>
      </c>
      <c r="E66" s="2" t="s">
        <v>198</v>
      </c>
      <c r="F66" s="2" t="s">
        <v>86</v>
      </c>
      <c r="G66" s="2" t="s">
        <v>443</v>
      </c>
      <c r="H66" s="4" t="s">
        <v>444</v>
      </c>
      <c r="I66" s="4" t="s">
        <v>439</v>
      </c>
      <c r="J66" s="4" t="s">
        <v>440</v>
      </c>
      <c r="K66" s="2" t="s">
        <v>435</v>
      </c>
      <c r="L66" s="2" t="s">
        <v>42</v>
      </c>
      <c r="M66" s="4" t="s">
        <v>441</v>
      </c>
      <c r="N66" s="2" t="s">
        <v>29</v>
      </c>
      <c r="O66" s="4" t="s">
        <v>29</v>
      </c>
      <c r="P66" s="4" t="s">
        <v>92</v>
      </c>
      <c r="Q66" s="6" t="s">
        <v>244</v>
      </c>
      <c r="R66" s="2" t="s">
        <v>34</v>
      </c>
      <c r="S66" s="2">
        <v>0</v>
      </c>
    </row>
    <row r="67" spans="1:19" s="2" customFormat="1" x14ac:dyDescent="0.25">
      <c r="A67" s="2" t="s">
        <v>445</v>
      </c>
      <c r="B67" s="2" t="s">
        <v>436</v>
      </c>
      <c r="C67" s="2" t="s">
        <v>237</v>
      </c>
      <c r="D67" s="2" t="s">
        <v>110</v>
      </c>
      <c r="E67" s="2" t="s">
        <v>49</v>
      </c>
      <c r="F67" s="2" t="s">
        <v>86</v>
      </c>
      <c r="G67" s="2" t="s">
        <v>446</v>
      </c>
      <c r="H67" s="4" t="s">
        <v>447</v>
      </c>
      <c r="I67" s="4" t="s">
        <v>439</v>
      </c>
      <c r="J67" s="4" t="s">
        <v>52</v>
      </c>
      <c r="K67" s="2" t="s">
        <v>448</v>
      </c>
      <c r="L67" s="2" t="s">
        <v>30</v>
      </c>
      <c r="M67" s="4" t="s">
        <v>54</v>
      </c>
      <c r="N67" s="2" t="s">
        <v>29</v>
      </c>
      <c r="O67" s="4" t="s">
        <v>29</v>
      </c>
      <c r="P67" s="4" t="s">
        <v>92</v>
      </c>
      <c r="Q67" s="2" t="s">
        <v>55</v>
      </c>
      <c r="R67" s="2" t="s">
        <v>34</v>
      </c>
      <c r="S67" s="2">
        <v>0</v>
      </c>
    </row>
    <row r="68" spans="1:19" s="2" customFormat="1" x14ac:dyDescent="0.25">
      <c r="A68" s="2" t="s">
        <v>449</v>
      </c>
      <c r="B68" s="2" t="s">
        <v>450</v>
      </c>
      <c r="C68" s="2" t="s">
        <v>237</v>
      </c>
      <c r="D68" s="2" t="s">
        <v>110</v>
      </c>
      <c r="E68" s="2" t="s">
        <v>198</v>
      </c>
      <c r="F68" s="2" t="s">
        <v>86</v>
      </c>
      <c r="G68" s="2" t="s">
        <v>451</v>
      </c>
      <c r="H68" s="4" t="s">
        <v>452</v>
      </c>
      <c r="I68" s="4" t="s">
        <v>453</v>
      </c>
      <c r="J68" s="4" t="s">
        <v>454</v>
      </c>
      <c r="K68" s="2" t="s">
        <v>29</v>
      </c>
      <c r="L68" s="2" t="s">
        <v>42</v>
      </c>
      <c r="M68" s="4" t="s">
        <v>455</v>
      </c>
      <c r="N68" s="2" t="s">
        <v>29</v>
      </c>
      <c r="O68" s="4" t="s">
        <v>29</v>
      </c>
      <c r="P68" s="4" t="s">
        <v>456</v>
      </c>
      <c r="Q68" s="6" t="s">
        <v>244</v>
      </c>
      <c r="R68" s="2" t="s">
        <v>34</v>
      </c>
      <c r="S68" s="2">
        <v>0</v>
      </c>
    </row>
    <row r="69" spans="1:19" s="2" customFormat="1" x14ac:dyDescent="0.25">
      <c r="A69" s="2" t="s">
        <v>457</v>
      </c>
      <c r="B69" s="2" t="s">
        <v>450</v>
      </c>
      <c r="C69" s="2" t="s">
        <v>237</v>
      </c>
      <c r="D69" s="2" t="s">
        <v>110</v>
      </c>
      <c r="E69" s="2" t="s">
        <v>198</v>
      </c>
      <c r="F69" s="2" t="s">
        <v>86</v>
      </c>
      <c r="G69" s="2" t="s">
        <v>458</v>
      </c>
      <c r="H69" s="4" t="s">
        <v>459</v>
      </c>
      <c r="I69" s="4" t="s">
        <v>453</v>
      </c>
      <c r="J69" s="4" t="s">
        <v>454</v>
      </c>
      <c r="K69" s="2" t="s">
        <v>449</v>
      </c>
      <c r="L69" s="2" t="s">
        <v>42</v>
      </c>
      <c r="M69" s="4" t="s">
        <v>455</v>
      </c>
      <c r="N69" s="2" t="s">
        <v>29</v>
      </c>
      <c r="O69" s="4" t="s">
        <v>29</v>
      </c>
      <c r="P69" s="4" t="s">
        <v>456</v>
      </c>
      <c r="Q69" s="6" t="s">
        <v>244</v>
      </c>
      <c r="R69" s="2" t="s">
        <v>34</v>
      </c>
      <c r="S69" s="2">
        <v>0</v>
      </c>
    </row>
    <row r="70" spans="1:19" s="2" customFormat="1" x14ac:dyDescent="0.25">
      <c r="A70" s="2" t="s">
        <v>460</v>
      </c>
      <c r="B70" s="2" t="s">
        <v>450</v>
      </c>
      <c r="C70" s="2" t="s">
        <v>237</v>
      </c>
      <c r="D70" s="2" t="s">
        <v>110</v>
      </c>
      <c r="E70" s="2" t="s">
        <v>49</v>
      </c>
      <c r="F70" s="2" t="s">
        <v>86</v>
      </c>
      <c r="G70" s="2" t="s">
        <v>461</v>
      </c>
      <c r="H70" s="4" t="s">
        <v>462</v>
      </c>
      <c r="I70" s="4" t="s">
        <v>453</v>
      </c>
      <c r="J70" s="4" t="s">
        <v>52</v>
      </c>
      <c r="K70" s="2" t="s">
        <v>463</v>
      </c>
      <c r="L70" s="2" t="s">
        <v>30</v>
      </c>
      <c r="M70" s="4" t="s">
        <v>54</v>
      </c>
      <c r="N70" s="2" t="s">
        <v>29</v>
      </c>
      <c r="O70" s="4" t="s">
        <v>29</v>
      </c>
      <c r="P70" s="4" t="s">
        <v>456</v>
      </c>
      <c r="Q70" s="2" t="s">
        <v>55</v>
      </c>
      <c r="R70" s="2" t="s">
        <v>34</v>
      </c>
      <c r="S70" s="2">
        <v>0</v>
      </c>
    </row>
    <row r="71" spans="1:19" s="2" customFormat="1" x14ac:dyDescent="0.25">
      <c r="A71" s="2" t="s">
        <v>464</v>
      </c>
      <c r="B71" s="2" t="s">
        <v>465</v>
      </c>
      <c r="C71" s="2" t="s">
        <v>466</v>
      </c>
      <c r="D71" s="2" t="s">
        <v>66</v>
      </c>
      <c r="E71" s="2" t="s">
        <v>325</v>
      </c>
      <c r="F71" s="2" t="s">
        <v>294</v>
      </c>
      <c r="G71" s="2" t="s">
        <v>467</v>
      </c>
      <c r="H71" s="4" t="s">
        <v>468</v>
      </c>
      <c r="I71" s="4" t="s">
        <v>469</v>
      </c>
      <c r="J71" s="4" t="s">
        <v>470</v>
      </c>
      <c r="K71" s="2" t="s">
        <v>29</v>
      </c>
      <c r="L71" s="2" t="s">
        <v>251</v>
      </c>
      <c r="M71" s="4" t="s">
        <v>471</v>
      </c>
      <c r="N71" s="2" t="s">
        <v>29</v>
      </c>
      <c r="O71" s="4" t="s">
        <v>29</v>
      </c>
      <c r="P71" s="4" t="s">
        <v>472</v>
      </c>
      <c r="Q71" s="5" t="s">
        <v>33</v>
      </c>
      <c r="R71" s="2" t="s">
        <v>34</v>
      </c>
      <c r="S71" s="2">
        <v>0</v>
      </c>
    </row>
    <row r="72" spans="1:19" s="2" customFormat="1" x14ac:dyDescent="0.25">
      <c r="A72" s="2" t="s">
        <v>473</v>
      </c>
      <c r="B72" s="2" t="s">
        <v>465</v>
      </c>
      <c r="C72" s="2" t="s">
        <v>466</v>
      </c>
      <c r="D72" s="2" t="s">
        <v>66</v>
      </c>
      <c r="E72" s="2" t="s">
        <v>325</v>
      </c>
      <c r="F72" s="2" t="s">
        <v>294</v>
      </c>
      <c r="G72" s="2" t="s">
        <v>474</v>
      </c>
      <c r="H72" s="4" t="s">
        <v>475</v>
      </c>
      <c r="I72" s="4" t="s">
        <v>469</v>
      </c>
      <c r="J72" s="4" t="s">
        <v>470</v>
      </c>
      <c r="K72" s="2" t="s">
        <v>464</v>
      </c>
      <c r="L72" s="2" t="s">
        <v>251</v>
      </c>
      <c r="M72" s="4" t="s">
        <v>471</v>
      </c>
      <c r="N72" s="2" t="s">
        <v>29</v>
      </c>
      <c r="O72" s="4" t="s">
        <v>29</v>
      </c>
      <c r="P72" s="4" t="s">
        <v>472</v>
      </c>
      <c r="Q72" s="5" t="s">
        <v>33</v>
      </c>
      <c r="R72" s="2" t="s">
        <v>34</v>
      </c>
      <c r="S72" s="2">
        <v>0</v>
      </c>
    </row>
    <row r="73" spans="1:19" s="2" customFormat="1" x14ac:dyDescent="0.25">
      <c r="A73" s="2" t="s">
        <v>476</v>
      </c>
      <c r="B73" s="2" t="s">
        <v>465</v>
      </c>
      <c r="C73" s="2" t="s">
        <v>466</v>
      </c>
      <c r="D73" s="2" t="s">
        <v>66</v>
      </c>
      <c r="E73" s="2" t="s">
        <v>49</v>
      </c>
      <c r="F73" s="2" t="s">
        <v>294</v>
      </c>
      <c r="G73" s="2" t="s">
        <v>477</v>
      </c>
      <c r="H73" s="4" t="s">
        <v>478</v>
      </c>
      <c r="I73" s="4" t="s">
        <v>469</v>
      </c>
      <c r="J73" s="4" t="s">
        <v>52</v>
      </c>
      <c r="K73" s="2" t="s">
        <v>479</v>
      </c>
      <c r="L73" s="2" t="s">
        <v>30</v>
      </c>
      <c r="M73" s="4" t="s">
        <v>54</v>
      </c>
      <c r="N73" s="2" t="s">
        <v>29</v>
      </c>
      <c r="O73" s="4" t="s">
        <v>29</v>
      </c>
      <c r="P73" s="4" t="s">
        <v>472</v>
      </c>
      <c r="Q73" s="2" t="s">
        <v>55</v>
      </c>
      <c r="R73" s="2" t="s">
        <v>34</v>
      </c>
      <c r="S73" s="2">
        <v>0</v>
      </c>
    </row>
    <row r="74" spans="1:19" s="2" customFormat="1" x14ac:dyDescent="0.25">
      <c r="A74" s="2" t="s">
        <v>480</v>
      </c>
      <c r="B74" s="2" t="s">
        <v>481</v>
      </c>
      <c r="C74" s="2" t="s">
        <v>466</v>
      </c>
      <c r="D74" s="2" t="s">
        <v>110</v>
      </c>
      <c r="E74" s="2" t="s">
        <v>85</v>
      </c>
      <c r="F74" s="2" t="s">
        <v>67</v>
      </c>
      <c r="G74" s="2" t="s">
        <v>482</v>
      </c>
      <c r="H74" s="4" t="s">
        <v>483</v>
      </c>
      <c r="I74" s="4" t="s">
        <v>484</v>
      </c>
      <c r="J74" s="4" t="s">
        <v>485</v>
      </c>
      <c r="K74" s="2" t="s">
        <v>29</v>
      </c>
      <c r="L74" s="2" t="s">
        <v>42</v>
      </c>
      <c r="M74" s="4" t="s">
        <v>486</v>
      </c>
      <c r="N74" s="2" t="s">
        <v>29</v>
      </c>
      <c r="O74" s="4" t="s">
        <v>29</v>
      </c>
      <c r="P74" s="4" t="s">
        <v>487</v>
      </c>
      <c r="Q74" s="5" t="s">
        <v>33</v>
      </c>
      <c r="R74" s="2" t="s">
        <v>34</v>
      </c>
      <c r="S74" s="2">
        <v>0</v>
      </c>
    </row>
    <row r="75" spans="1:19" s="2" customFormat="1" x14ac:dyDescent="0.25">
      <c r="A75" s="2" t="s">
        <v>488</v>
      </c>
      <c r="B75" s="2" t="s">
        <v>489</v>
      </c>
      <c r="C75" s="2" t="s">
        <v>466</v>
      </c>
      <c r="D75" s="2" t="s">
        <v>110</v>
      </c>
      <c r="E75" s="2" t="s">
        <v>278</v>
      </c>
      <c r="F75" s="2" t="s">
        <v>86</v>
      </c>
      <c r="G75" s="2" t="s">
        <v>490</v>
      </c>
      <c r="H75" s="4" t="s">
        <v>491</v>
      </c>
      <c r="I75" s="4" t="s">
        <v>492</v>
      </c>
      <c r="J75" s="4" t="s">
        <v>493</v>
      </c>
      <c r="K75" s="2" t="s">
        <v>29</v>
      </c>
      <c r="L75" s="2" t="s">
        <v>42</v>
      </c>
      <c r="M75" s="4" t="s">
        <v>494</v>
      </c>
      <c r="N75" s="2" t="s">
        <v>29</v>
      </c>
      <c r="O75" s="4" t="s">
        <v>29</v>
      </c>
      <c r="P75" s="4" t="s">
        <v>495</v>
      </c>
      <c r="Q75" s="2" t="s">
        <v>55</v>
      </c>
      <c r="R75" s="2" t="s">
        <v>34</v>
      </c>
      <c r="S75" s="2">
        <v>0</v>
      </c>
    </row>
    <row r="76" spans="1:19" s="2" customFormat="1" x14ac:dyDescent="0.25">
      <c r="A76" s="2" t="s">
        <v>496</v>
      </c>
      <c r="B76" s="2" t="s">
        <v>497</v>
      </c>
      <c r="C76" s="2" t="s">
        <v>466</v>
      </c>
      <c r="D76" s="2" t="s">
        <v>110</v>
      </c>
      <c r="E76" s="2" t="s">
        <v>325</v>
      </c>
      <c r="F76" s="2" t="s">
        <v>86</v>
      </c>
      <c r="G76" s="2" t="s">
        <v>498</v>
      </c>
      <c r="H76" s="4" t="s">
        <v>499</v>
      </c>
      <c r="I76" s="4" t="s">
        <v>500</v>
      </c>
      <c r="J76" s="4" t="s">
        <v>501</v>
      </c>
      <c r="K76" s="2" t="s">
        <v>29</v>
      </c>
      <c r="L76" s="2" t="s">
        <v>251</v>
      </c>
      <c r="M76" s="4" t="s">
        <v>502</v>
      </c>
      <c r="N76" s="2" t="s">
        <v>29</v>
      </c>
      <c r="O76" s="4" t="s">
        <v>29</v>
      </c>
      <c r="P76" s="4" t="s">
        <v>503</v>
      </c>
      <c r="Q76" s="6" t="s">
        <v>244</v>
      </c>
      <c r="R76" s="2" t="s">
        <v>34</v>
      </c>
      <c r="S76" s="2">
        <v>0</v>
      </c>
    </row>
    <row r="77" spans="1:19" s="2" customFormat="1" x14ac:dyDescent="0.25">
      <c r="A77" s="2" t="s">
        <v>504</v>
      </c>
      <c r="B77" s="2" t="s">
        <v>497</v>
      </c>
      <c r="C77" s="2" t="s">
        <v>466</v>
      </c>
      <c r="D77" s="2" t="s">
        <v>110</v>
      </c>
      <c r="E77" s="2" t="s">
        <v>325</v>
      </c>
      <c r="F77" s="2" t="s">
        <v>86</v>
      </c>
      <c r="G77" s="2" t="s">
        <v>505</v>
      </c>
      <c r="H77" s="4" t="s">
        <v>506</v>
      </c>
      <c r="I77" s="4" t="s">
        <v>500</v>
      </c>
      <c r="J77" s="4" t="s">
        <v>501</v>
      </c>
      <c r="K77" s="2" t="s">
        <v>496</v>
      </c>
      <c r="L77" s="2" t="s">
        <v>251</v>
      </c>
      <c r="M77" s="4" t="s">
        <v>502</v>
      </c>
      <c r="N77" s="2" t="s">
        <v>29</v>
      </c>
      <c r="O77" s="4" t="s">
        <v>29</v>
      </c>
      <c r="P77" s="4" t="s">
        <v>503</v>
      </c>
      <c r="Q77" s="6" t="s">
        <v>244</v>
      </c>
      <c r="R77" s="2" t="s">
        <v>34</v>
      </c>
      <c r="S77" s="2">
        <v>0</v>
      </c>
    </row>
    <row r="78" spans="1:19" s="2" customFormat="1" x14ac:dyDescent="0.25">
      <c r="A78" s="2" t="s">
        <v>507</v>
      </c>
      <c r="B78" s="2" t="s">
        <v>497</v>
      </c>
      <c r="C78" s="2" t="s">
        <v>466</v>
      </c>
      <c r="D78" s="2" t="s">
        <v>110</v>
      </c>
      <c r="E78" s="2" t="s">
        <v>49</v>
      </c>
      <c r="F78" s="2" t="s">
        <v>86</v>
      </c>
      <c r="G78" s="2" t="s">
        <v>508</v>
      </c>
      <c r="H78" s="4" t="s">
        <v>509</v>
      </c>
      <c r="I78" s="4" t="s">
        <v>500</v>
      </c>
      <c r="J78" s="4" t="s">
        <v>52</v>
      </c>
      <c r="K78" s="2" t="s">
        <v>510</v>
      </c>
      <c r="L78" s="2" t="s">
        <v>30</v>
      </c>
      <c r="M78" s="4" t="s">
        <v>54</v>
      </c>
      <c r="N78" s="2" t="s">
        <v>29</v>
      </c>
      <c r="O78" s="4" t="s">
        <v>29</v>
      </c>
      <c r="P78" s="4" t="s">
        <v>503</v>
      </c>
      <c r="Q78" s="2" t="s">
        <v>55</v>
      </c>
      <c r="R78" s="2" t="s">
        <v>34</v>
      </c>
      <c r="S78" s="2">
        <v>0</v>
      </c>
    </row>
    <row r="79" spans="1:19" s="2" customFormat="1" x14ac:dyDescent="0.25">
      <c r="A79" s="2" t="s">
        <v>511</v>
      </c>
      <c r="B79" s="2" t="s">
        <v>512</v>
      </c>
      <c r="C79" s="2" t="s">
        <v>466</v>
      </c>
      <c r="D79" s="2" t="s">
        <v>110</v>
      </c>
      <c r="E79" s="2" t="s">
        <v>325</v>
      </c>
      <c r="F79" s="2" t="s">
        <v>86</v>
      </c>
      <c r="G79" s="2" t="s">
        <v>513</v>
      </c>
      <c r="H79" s="4" t="s">
        <v>514</v>
      </c>
      <c r="I79" s="4" t="s">
        <v>515</v>
      </c>
      <c r="J79" s="4" t="s">
        <v>516</v>
      </c>
      <c r="K79" s="2" t="s">
        <v>29</v>
      </c>
      <c r="L79" s="2" t="s">
        <v>251</v>
      </c>
      <c r="M79" s="4" t="s">
        <v>517</v>
      </c>
      <c r="N79" s="2" t="s">
        <v>29</v>
      </c>
      <c r="O79" s="4" t="s">
        <v>29</v>
      </c>
      <c r="P79" s="4" t="s">
        <v>518</v>
      </c>
      <c r="Q79" s="6" t="s">
        <v>244</v>
      </c>
      <c r="R79" s="2" t="s">
        <v>34</v>
      </c>
      <c r="S79" s="2">
        <v>0</v>
      </c>
    </row>
    <row r="80" spans="1:19" s="2" customFormat="1" x14ac:dyDescent="0.25">
      <c r="A80" s="2" t="s">
        <v>519</v>
      </c>
      <c r="B80" s="2" t="s">
        <v>512</v>
      </c>
      <c r="C80" s="2" t="s">
        <v>466</v>
      </c>
      <c r="D80" s="2" t="s">
        <v>110</v>
      </c>
      <c r="E80" s="2" t="s">
        <v>325</v>
      </c>
      <c r="F80" s="2" t="s">
        <v>86</v>
      </c>
      <c r="G80" s="2" t="s">
        <v>520</v>
      </c>
      <c r="H80" s="4" t="s">
        <v>521</v>
      </c>
      <c r="I80" s="4" t="s">
        <v>515</v>
      </c>
      <c r="J80" s="4" t="s">
        <v>516</v>
      </c>
      <c r="K80" s="2" t="s">
        <v>511</v>
      </c>
      <c r="L80" s="2" t="s">
        <v>251</v>
      </c>
      <c r="M80" s="4" t="s">
        <v>517</v>
      </c>
      <c r="N80" s="2" t="s">
        <v>29</v>
      </c>
      <c r="O80" s="4" t="s">
        <v>29</v>
      </c>
      <c r="P80" s="4" t="s">
        <v>518</v>
      </c>
      <c r="Q80" s="6" t="s">
        <v>244</v>
      </c>
      <c r="R80" s="2" t="s">
        <v>34</v>
      </c>
      <c r="S80" s="2">
        <v>0</v>
      </c>
    </row>
    <row r="81" spans="1:19" s="2" customFormat="1" x14ac:dyDescent="0.25">
      <c r="A81" s="2" t="s">
        <v>522</v>
      </c>
      <c r="B81" s="2" t="s">
        <v>512</v>
      </c>
      <c r="C81" s="2" t="s">
        <v>466</v>
      </c>
      <c r="D81" s="2" t="s">
        <v>110</v>
      </c>
      <c r="E81" s="2" t="s">
        <v>49</v>
      </c>
      <c r="F81" s="2" t="s">
        <v>86</v>
      </c>
      <c r="G81" s="2" t="s">
        <v>523</v>
      </c>
      <c r="H81" s="4" t="s">
        <v>524</v>
      </c>
      <c r="I81" s="4" t="s">
        <v>515</v>
      </c>
      <c r="J81" s="4" t="s">
        <v>52</v>
      </c>
      <c r="K81" s="2" t="s">
        <v>525</v>
      </c>
      <c r="L81" s="2" t="s">
        <v>30</v>
      </c>
      <c r="M81" s="4" t="s">
        <v>54</v>
      </c>
      <c r="N81" s="2" t="s">
        <v>29</v>
      </c>
      <c r="O81" s="4" t="s">
        <v>29</v>
      </c>
      <c r="P81" s="4" t="s">
        <v>518</v>
      </c>
      <c r="Q81" s="2" t="s">
        <v>55</v>
      </c>
      <c r="R81" s="2" t="s">
        <v>34</v>
      </c>
      <c r="S81" s="2">
        <v>0</v>
      </c>
    </row>
    <row r="82" spans="1:19" s="2" customFormat="1" x14ac:dyDescent="0.25">
      <c r="A82" s="2" t="s">
        <v>526</v>
      </c>
      <c r="B82" s="2" t="s">
        <v>527</v>
      </c>
      <c r="C82" s="2" t="s">
        <v>466</v>
      </c>
      <c r="D82" s="2" t="s">
        <v>110</v>
      </c>
      <c r="E82" s="2" t="s">
        <v>325</v>
      </c>
      <c r="F82" s="2" t="s">
        <v>294</v>
      </c>
      <c r="G82" s="2" t="s">
        <v>528</v>
      </c>
      <c r="H82" s="4" t="s">
        <v>529</v>
      </c>
      <c r="I82" s="4" t="s">
        <v>530</v>
      </c>
      <c r="J82" s="4" t="s">
        <v>531</v>
      </c>
      <c r="K82" s="2" t="s">
        <v>29</v>
      </c>
      <c r="L82" s="2" t="s">
        <v>251</v>
      </c>
      <c r="M82" s="4" t="s">
        <v>532</v>
      </c>
      <c r="N82" s="2" t="s">
        <v>29</v>
      </c>
      <c r="O82" s="4" t="s">
        <v>29</v>
      </c>
      <c r="P82" s="4" t="s">
        <v>533</v>
      </c>
      <c r="Q82" s="5" t="s">
        <v>33</v>
      </c>
      <c r="R82" s="2" t="s">
        <v>34</v>
      </c>
      <c r="S82" s="2">
        <v>0</v>
      </c>
    </row>
    <row r="83" spans="1:19" s="2" customFormat="1" x14ac:dyDescent="0.25">
      <c r="A83" s="2" t="s">
        <v>534</v>
      </c>
      <c r="B83" s="2" t="s">
        <v>527</v>
      </c>
      <c r="C83" s="2" t="s">
        <v>466</v>
      </c>
      <c r="D83" s="2" t="s">
        <v>110</v>
      </c>
      <c r="E83" s="2" t="s">
        <v>325</v>
      </c>
      <c r="F83" s="2" t="s">
        <v>294</v>
      </c>
      <c r="G83" s="2" t="s">
        <v>535</v>
      </c>
      <c r="H83" s="4" t="s">
        <v>536</v>
      </c>
      <c r="I83" s="4" t="s">
        <v>530</v>
      </c>
      <c r="J83" s="4" t="s">
        <v>531</v>
      </c>
      <c r="K83" s="2" t="s">
        <v>526</v>
      </c>
      <c r="L83" s="2" t="s">
        <v>251</v>
      </c>
      <c r="M83" s="4" t="s">
        <v>532</v>
      </c>
      <c r="N83" s="2" t="s">
        <v>29</v>
      </c>
      <c r="O83" s="4" t="s">
        <v>29</v>
      </c>
      <c r="P83" s="4" t="s">
        <v>533</v>
      </c>
      <c r="Q83" s="5" t="s">
        <v>33</v>
      </c>
      <c r="R83" s="2" t="s">
        <v>34</v>
      </c>
      <c r="S83" s="2">
        <v>0</v>
      </c>
    </row>
    <row r="84" spans="1:19" s="2" customFormat="1" x14ac:dyDescent="0.25">
      <c r="A84" s="2" t="s">
        <v>537</v>
      </c>
      <c r="B84" s="2" t="s">
        <v>527</v>
      </c>
      <c r="C84" s="2" t="s">
        <v>466</v>
      </c>
      <c r="D84" s="2" t="s">
        <v>110</v>
      </c>
      <c r="E84" s="2" t="s">
        <v>49</v>
      </c>
      <c r="F84" s="2" t="s">
        <v>294</v>
      </c>
      <c r="G84" s="2" t="s">
        <v>538</v>
      </c>
      <c r="H84" s="4" t="s">
        <v>539</v>
      </c>
      <c r="I84" s="4" t="s">
        <v>530</v>
      </c>
      <c r="J84" s="4" t="s">
        <v>52</v>
      </c>
      <c r="K84" s="2" t="s">
        <v>540</v>
      </c>
      <c r="L84" s="2" t="s">
        <v>30</v>
      </c>
      <c r="M84" s="4" t="s">
        <v>54</v>
      </c>
      <c r="N84" s="2" t="s">
        <v>29</v>
      </c>
      <c r="O84" s="4" t="s">
        <v>29</v>
      </c>
      <c r="P84" s="4" t="s">
        <v>533</v>
      </c>
      <c r="Q84" s="2" t="s">
        <v>55</v>
      </c>
      <c r="R84" s="2" t="s">
        <v>34</v>
      </c>
      <c r="S84" s="2">
        <v>0</v>
      </c>
    </row>
    <row r="85" spans="1:19" s="2" customFormat="1" x14ac:dyDescent="0.25">
      <c r="A85" s="2" t="s">
        <v>541</v>
      </c>
      <c r="B85" s="2" t="s">
        <v>542</v>
      </c>
      <c r="C85" s="2" t="s">
        <v>466</v>
      </c>
      <c r="D85" s="2" t="s">
        <v>110</v>
      </c>
      <c r="E85" s="2" t="s">
        <v>325</v>
      </c>
      <c r="F85" s="2" t="s">
        <v>294</v>
      </c>
      <c r="G85" s="2" t="s">
        <v>543</v>
      </c>
      <c r="H85" s="4" t="s">
        <v>544</v>
      </c>
      <c r="I85" s="4" t="s">
        <v>545</v>
      </c>
      <c r="J85" s="4" t="s">
        <v>546</v>
      </c>
      <c r="K85" s="2" t="s">
        <v>29</v>
      </c>
      <c r="L85" s="2" t="s">
        <v>42</v>
      </c>
      <c r="M85" s="4" t="s">
        <v>547</v>
      </c>
      <c r="N85" s="2" t="s">
        <v>29</v>
      </c>
      <c r="O85" s="4" t="s">
        <v>29</v>
      </c>
      <c r="P85" s="4" t="s">
        <v>243</v>
      </c>
      <c r="Q85" s="5" t="s">
        <v>33</v>
      </c>
      <c r="R85" s="2" t="s">
        <v>34</v>
      </c>
      <c r="S85" s="2">
        <v>0</v>
      </c>
    </row>
  </sheetData>
  <autoFilter ref="A1:S85"/>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7"/>
  <sheetFormatPr defaultRowHeight="15" outlineLevelRow="0" outlineLevelCol="0" x14ac:dyDescent="55"/>
  <cols>
    <col min="1" max="1" width="28" customWidth="1"/>
    <col min="2" max="4" width="14" customWidth="1"/>
  </cols>
  <sheetData>
    <row r="1" spans="1:1" s="7" customFormat="1" x14ac:dyDescent="0.25">
      <c r="A1" s="7" t="s">
        <v>548</v>
      </c>
    </row>
    <row r="2" spans="1:1" s="8" customFormat="1" x14ac:dyDescent="0.25">
      <c r="A2" s="8" t="s">
        <v>549</v>
      </c>
    </row>
    <row r="4" spans="1:2" x14ac:dyDescent="0.25">
      <c r="A4" t="s">
        <v>550</v>
      </c>
      <c r="B4">
        <f>COUNTA(Tasks!$A$2:$A$85)</f>
      </c>
    </row>
    <row r="5" spans="1:2" x14ac:dyDescent="0.25">
      <c r="A5" t="s">
        <v>551</v>
      </c>
      <c r="B5">
        <f>COUNTIF(Tasks!$N$2:$N$85,"YES")</f>
      </c>
    </row>
    <row r="6" spans="1:2" x14ac:dyDescent="0.25">
      <c r="A6" t="s">
        <v>552</v>
      </c>
      <c r="B6">
        <f>COUNTIF(Tasks!$N$2:$N$85,"BLOCKED")</f>
      </c>
    </row>
    <row r="7" spans="1:2" x14ac:dyDescent="0.25">
      <c r="A7" t="s">
        <v>553</v>
      </c>
      <c r="B7">
        <f>COUNTIFS(Tasks!$R$2:$R$85,"On-Hold",Tasks!$N$2:$N$85,"&lt;&gt;YES")</f>
      </c>
    </row>
    <row r="8" spans="1:2" s="9" customFormat="1" x14ac:dyDescent="0.25">
      <c r="A8" s="9" t="s">
        <v>554</v>
      </c>
      <c r="B8" s="10">
        <f>IF(COUNTA(Tasks!$A$2:$A$85)=0,0,COUNTIF(Tasks!$N$2:$N$85,"YES")/COUNTA(Tasks!$A$2:$A$85))</f>
      </c>
    </row>
    <row r="9" spans="1:2" s="9" customFormat="1" x14ac:dyDescent="0.25">
      <c r="A9" s="9" t="s">
        <v>555</v>
      </c>
      <c r="B9" s="11">
        <f>SUM(Tasks!$S$2:$S$85)</f>
      </c>
    </row>
    <row r="11" spans="1:4" s="12" customFormat="1" x14ac:dyDescent="0.25">
      <c r="A11" s="12" t="s">
        <v>556</v>
      </c>
      <c r="B11" s="12" t="s">
        <v>557</v>
      </c>
      <c r="C11" s="12" t="s">
        <v>558</v>
      </c>
      <c r="D11" s="12" t="s">
        <v>554</v>
      </c>
    </row>
    <row r="12" spans="1:4" x14ac:dyDescent="0.25">
      <c r="A12" t="s">
        <v>21</v>
      </c>
      <c r="B12">
        <f>COUNTIF(Tasks!$C$2:$C$85,"v0.2")</f>
      </c>
      <c r="C12">
        <f>COUNTIFS(Tasks!$C$2:$C$85,"v0.2",Tasks!$N$2:$N$85,"YES")</f>
      </c>
      <c r="D12" s="13">
        <f>IF(COUNTIF(Tasks!$C$2:$C$85,"v0.2")=0,0,COUNTIFS(Tasks!$C$2:$C$85,"v0.2",Tasks!$N$2:$N$85,"YES")/COUNTIF(Tasks!$C$2:$C$85,"v0.2"))</f>
      </c>
    </row>
    <row r="13" spans="1:4" x14ac:dyDescent="0.25">
      <c r="A13" t="s">
        <v>237</v>
      </c>
      <c r="B13">
        <f>COUNTIF(Tasks!$C$2:$C$85,"v0.3")</f>
      </c>
      <c r="C13">
        <f>COUNTIFS(Tasks!$C$2:$C$85,"v0.3",Tasks!$N$2:$N$85,"YES")</f>
      </c>
      <c r="D13" s="13">
        <f>IF(COUNTIF(Tasks!$C$2:$C$85,"v0.3")=0,0,COUNTIFS(Tasks!$C$2:$C$85,"v0.3",Tasks!$N$2:$N$85,"YES")/COUNTIF(Tasks!$C$2:$C$85,"v0.3"))</f>
      </c>
    </row>
    <row r="14" spans="1:4" x14ac:dyDescent="0.25">
      <c r="A14" t="s">
        <v>466</v>
      </c>
      <c r="B14">
        <f>COUNTIF(Tasks!$C$2:$C$85,"v0.4")</f>
      </c>
      <c r="C14">
        <f>COUNTIFS(Tasks!$C$2:$C$85,"v0.4",Tasks!$N$2:$N$85,"YES")</f>
      </c>
      <c r="D14" s="13">
        <f>IF(COUNTIF(Tasks!$C$2:$C$85,"v0.4")=0,0,COUNTIFS(Tasks!$C$2:$C$85,"v0.4",Tasks!$N$2:$N$85,"YES")/COUNTIF(Tasks!$C$2:$C$85,"v0.4"))</f>
      </c>
    </row>
    <row r="16" spans="1:4" s="12" customFormat="1" x14ac:dyDescent="0.25">
      <c r="A16" s="12" t="s">
        <v>559</v>
      </c>
      <c r="B16" s="12" t="s">
        <v>557</v>
      </c>
      <c r="C16" s="12" t="s">
        <v>558</v>
      </c>
      <c r="D16" s="12" t="s">
        <v>554</v>
      </c>
    </row>
    <row r="17" spans="1:4" x14ac:dyDescent="0.25">
      <c r="A17" t="s">
        <v>22</v>
      </c>
      <c r="B17">
        <f>COUNTIF(Tasks!$D$2:$D$85,"P0")</f>
      </c>
      <c r="C17">
        <f>COUNTIFS(Tasks!$D$2:$D$85,"P0",Tasks!$N$2:$N$85,"YES")</f>
      </c>
      <c r="D17" s="13">
        <f>IF(COUNTIF(Tasks!$D$2:$D$85,"P0")=0,0,COUNTIFS(Tasks!$D$2:$D$85,"P0",Tasks!$N$2:$N$85,"YES")/COUNTIF(Tasks!$D$2:$D$85,"P0"))</f>
      </c>
    </row>
    <row r="18" spans="1:4" x14ac:dyDescent="0.25">
      <c r="A18" t="s">
        <v>66</v>
      </c>
      <c r="B18">
        <f>COUNTIF(Tasks!$D$2:$D$85,"P1")</f>
      </c>
      <c r="C18">
        <f>COUNTIFS(Tasks!$D$2:$D$85,"P1",Tasks!$N$2:$N$85,"YES")</f>
      </c>
      <c r="D18" s="13">
        <f>IF(COUNTIF(Tasks!$D$2:$D$85,"P1")=0,0,COUNTIFS(Tasks!$D$2:$D$85,"P1",Tasks!$N$2:$N$85,"YES")/COUNTIF(Tasks!$D$2:$D$85,"P1"))</f>
      </c>
    </row>
    <row r="19" spans="1:4" x14ac:dyDescent="0.25">
      <c r="A19" t="s">
        <v>110</v>
      </c>
      <c r="B19">
        <f>COUNTIF(Tasks!$D$2:$D$85,"P2")</f>
      </c>
      <c r="C19">
        <f>COUNTIFS(Tasks!$D$2:$D$85,"P2",Tasks!$N$2:$N$85,"YES")</f>
      </c>
      <c r="D19" s="13">
        <f>IF(COUNTIF(Tasks!$D$2:$D$85,"P2")=0,0,COUNTIFS(Tasks!$D$2:$D$85,"P2",Tasks!$N$2:$N$85,"YES")/COUNTIF(Tasks!$D$2:$D$85,"P2"))</f>
      </c>
    </row>
    <row r="21" spans="1:4" s="12" customFormat="1" x14ac:dyDescent="0.25">
      <c r="A21" s="12" t="s">
        <v>560</v>
      </c>
      <c r="B21" s="12" t="s">
        <v>557</v>
      </c>
      <c r="C21" s="12" t="s">
        <v>558</v>
      </c>
      <c r="D21" s="12" t="s">
        <v>554</v>
      </c>
    </row>
    <row r="22" spans="1:4" x14ac:dyDescent="0.25">
      <c r="A22" t="s">
        <v>23</v>
      </c>
      <c r="B22">
        <f>COUNTIF(Tasks!$E$2:$E$85,"Bug")</f>
      </c>
      <c r="C22">
        <f>COUNTIFS(Tasks!$E$2:$E$85,"Bug",Tasks!$N$2:$N$85,"YES")</f>
      </c>
      <c r="D22" s="13">
        <f>IF(COUNTIF(Tasks!$E$2:$E$85,"Bug")=0,0,COUNTIFS(Tasks!$E$2:$E$85,"Bug",Tasks!$N$2:$N$85,"YES")/COUNTIF(Tasks!$E$2:$E$85,"Bug"))</f>
      </c>
    </row>
    <row r="23" spans="1:4" x14ac:dyDescent="0.25">
      <c r="A23" t="s">
        <v>85</v>
      </c>
      <c r="B23">
        <f>COUNTIF(Tasks!$E$2:$E$85,"Improvement")</f>
      </c>
      <c r="C23">
        <f>COUNTIFS(Tasks!$E$2:$E$85,"Improvement",Tasks!$N$2:$N$85,"YES")</f>
      </c>
      <c r="D23" s="13">
        <f>IF(COUNTIF(Tasks!$E$2:$E$85,"Improvement")=0,0,COUNTIFS(Tasks!$E$2:$E$85,"Improvement",Tasks!$N$2:$N$85,"YES")/COUNTIF(Tasks!$E$2:$E$85,"Improvement"))</f>
      </c>
    </row>
    <row r="24" spans="1:4" x14ac:dyDescent="0.25">
      <c r="A24" t="s">
        <v>278</v>
      </c>
      <c r="B24">
        <f>COUNTIF(Tasks!$E$2:$E$85,"Missing feature")</f>
      </c>
      <c r="C24">
        <f>COUNTIFS(Tasks!$E$2:$E$85,"Missing feature",Tasks!$N$2:$N$85,"YES")</f>
      </c>
      <c r="D24" s="13">
        <f>IF(COUNTIF(Tasks!$E$2:$E$85,"Missing feature")=0,0,COUNTIFS(Tasks!$E$2:$E$85,"Missing feature",Tasks!$N$2:$N$85,"YES")/COUNTIF(Tasks!$E$2:$E$85,"Missing feature"))</f>
      </c>
    </row>
    <row r="25" spans="1:4" x14ac:dyDescent="0.25">
      <c r="A25" t="s">
        <v>325</v>
      </c>
      <c r="B25">
        <f>COUNTIF(Tasks!$E$2:$E$85,"New feature")</f>
      </c>
      <c r="C25">
        <f>COUNTIFS(Tasks!$E$2:$E$85,"New feature",Tasks!$N$2:$N$85,"YES")</f>
      </c>
      <c r="D25" s="13">
        <f>IF(COUNTIF(Tasks!$E$2:$E$85,"New feature")=0,0,COUNTIFS(Tasks!$E$2:$E$85,"New feature",Tasks!$N$2:$N$85,"YES")/COUNTIF(Tasks!$E$2:$E$85,"New feature"))</f>
      </c>
    </row>
    <row r="26" spans="1:4" x14ac:dyDescent="0.25">
      <c r="A26" t="s">
        <v>198</v>
      </c>
      <c r="B26">
        <f>COUNTIF(Tasks!$E$2:$E$85,"Polish")</f>
      </c>
      <c r="C26">
        <f>COUNTIFS(Tasks!$E$2:$E$85,"Polish",Tasks!$N$2:$N$85,"YES")</f>
      </c>
      <c r="D26" s="13">
        <f>IF(COUNTIF(Tasks!$E$2:$E$85,"Polish")=0,0,COUNTIFS(Tasks!$E$2:$E$85,"Polish",Tasks!$N$2:$N$85,"YES")/COUNTIF(Tasks!$E$2:$E$85,"Polish"))</f>
      </c>
    </row>
    <row r="27" spans="1:4" x14ac:dyDescent="0.25">
      <c r="A27" t="s">
        <v>37</v>
      </c>
      <c r="B27">
        <f>COUNTIF(Tasks!$E$2:$E$85,"Security")</f>
      </c>
      <c r="C27">
        <f>COUNTIFS(Tasks!$E$2:$E$85,"Security",Tasks!$N$2:$N$85,"YES")</f>
      </c>
      <c r="D27" s="13">
        <f>IF(COUNTIF(Tasks!$E$2:$E$85,"Security")=0,0,COUNTIFS(Tasks!$E$2:$E$85,"Security",Tasks!$N$2:$N$85,"YES")/COUNTIF(Tasks!$E$2:$E$85,"Security"))</f>
      </c>
    </row>
    <row r="28" spans="1:4" x14ac:dyDescent="0.25">
      <c r="A28" t="s">
        <v>49</v>
      </c>
      <c r="B28">
        <f>COUNTIF(Tasks!$E$2:$E$85,"Test")</f>
      </c>
      <c r="C28">
        <f>COUNTIFS(Tasks!$E$2:$E$85,"Test",Tasks!$N$2:$N$85,"YES")</f>
      </c>
      <c r="D28" s="13">
        <f>IF(COUNTIF(Tasks!$E$2:$E$85,"Test")=0,0,COUNTIFS(Tasks!$E$2:$E$85,"Test",Tasks!$N$2:$N$85,"YES")/COUNTIF(Tasks!$E$2:$E$85,"Test"))</f>
      </c>
    </row>
    <row r="30" spans="1:4" s="12" customFormat="1" x14ac:dyDescent="0.25">
      <c r="A30" s="12" t="s">
        <v>561</v>
      </c>
      <c r="B30" s="12" t="s">
        <v>557</v>
      </c>
      <c r="C30" s="12" t="s">
        <v>558</v>
      </c>
      <c r="D30" s="12" t="s">
        <v>554</v>
      </c>
    </row>
    <row r="31" spans="1:4" x14ac:dyDescent="0.25">
      <c r="A31" t="s">
        <v>142</v>
      </c>
      <c r="B31">
        <f>COUNTIF(Tasks!$F$2:$F$85,"AI")</f>
      </c>
      <c r="C31">
        <f>COUNTIFS(Tasks!$F$2:$F$85,"AI",Tasks!$N$2:$N$85,"YES")</f>
      </c>
      <c r="D31" s="13">
        <f>IF(COUNTIF(Tasks!$F$2:$F$85,"AI")=0,0,COUNTIFS(Tasks!$F$2:$F$85,"AI",Tasks!$N$2:$N$85,"YES")/COUNTIF(Tasks!$F$2:$F$85,"AI"))</f>
      </c>
    </row>
    <row r="32" spans="1:4" x14ac:dyDescent="0.25">
      <c r="A32" t="s">
        <v>294</v>
      </c>
      <c r="B32">
        <f>COUNTIF(Tasks!$F$2:$F$85,"API")</f>
      </c>
      <c r="C32">
        <f>COUNTIFS(Tasks!$F$2:$F$85,"API",Tasks!$N$2:$N$85,"YES")</f>
      </c>
      <c r="D32" s="13">
        <f>IF(COUNTIF(Tasks!$F$2:$F$85,"API")=0,0,COUNTIFS(Tasks!$F$2:$F$85,"API",Tasks!$N$2:$N$85,"YES")/COUNTIF(Tasks!$F$2:$F$85,"API"))</f>
      </c>
    </row>
    <row r="33" spans="1:4" x14ac:dyDescent="0.25">
      <c r="A33" t="s">
        <v>24</v>
      </c>
      <c r="B33">
        <f>COUNTIF(Tasks!$F$2:$F$85,"Auth")</f>
      </c>
      <c r="C33">
        <f>COUNTIFS(Tasks!$F$2:$F$85,"Auth",Tasks!$N$2:$N$85,"YES")</f>
      </c>
      <c r="D33" s="13">
        <f>IF(COUNTIF(Tasks!$F$2:$F$85,"Auth")=0,0,COUNTIFS(Tasks!$F$2:$F$85,"Auth",Tasks!$N$2:$N$85,"YES")/COUNTIF(Tasks!$F$2:$F$85,"Auth"))</f>
      </c>
    </row>
    <row r="34" spans="1:4" x14ac:dyDescent="0.25">
      <c r="A34" t="s">
        <v>67</v>
      </c>
      <c r="B34">
        <f>COUNTIF(Tasks!$F$2:$F$85,"DB")</f>
      </c>
      <c r="C34">
        <f>COUNTIFS(Tasks!$F$2:$F$85,"DB",Tasks!$N$2:$N$85,"YES")</f>
      </c>
      <c r="D34" s="13">
        <f>IF(COUNTIF(Tasks!$F$2:$F$85,"DB")=0,0,COUNTIFS(Tasks!$F$2:$F$85,"DB",Tasks!$N$2:$N$85,"YES")/COUNTIF(Tasks!$F$2:$F$85,"DB"))</f>
      </c>
    </row>
    <row r="35" spans="1:4" x14ac:dyDescent="0.25">
      <c r="A35" t="s">
        <v>166</v>
      </c>
      <c r="B35">
        <f>COUNTIF(Tasks!$F$2:$F$85,"Docs")</f>
      </c>
      <c r="C35">
        <f>COUNTIFS(Tasks!$F$2:$F$85,"Docs",Tasks!$N$2:$N$85,"YES")</f>
      </c>
      <c r="D35" s="13">
        <f>IF(COUNTIF(Tasks!$F$2:$F$85,"Docs")=0,0,COUNTIFS(Tasks!$F$2:$F$85,"Docs",Tasks!$N$2:$N$85,"YES")/COUNTIF(Tasks!$F$2:$F$85,"Docs"))</f>
      </c>
    </row>
    <row r="36" spans="1:4" x14ac:dyDescent="0.25">
      <c r="A36" t="s">
        <v>76</v>
      </c>
      <c r="B36">
        <f>COUNTIF(Tasks!$F$2:$F$85,"Infra")</f>
      </c>
      <c r="C36">
        <f>COUNTIFS(Tasks!$F$2:$F$85,"Infra",Tasks!$N$2:$N$85,"YES")</f>
      </c>
      <c r="D36" s="13">
        <f>IF(COUNTIF(Tasks!$F$2:$F$85,"Infra")=0,0,COUNTIFS(Tasks!$F$2:$F$85,"Infra",Tasks!$N$2:$N$85,"YES")/COUNTIF(Tasks!$F$2:$F$85,"Infra"))</f>
      </c>
    </row>
    <row r="37" spans="1:4" x14ac:dyDescent="0.25">
      <c r="A37" t="s">
        <v>49</v>
      </c>
      <c r="B37">
        <f>COUNTIF(Tasks!$F$2:$F$85,"Test")</f>
      </c>
      <c r="C37">
        <f>COUNTIFS(Tasks!$F$2:$F$85,"Test",Tasks!$N$2:$N$85,"YES")</f>
      </c>
      <c r="D37" s="13">
        <f>IF(COUNTIF(Tasks!$F$2:$F$85,"Test")=0,0,COUNTIFS(Tasks!$F$2:$F$85,"Test",Tasks!$N$2:$N$85,"YES")/COUNTIF(Tasks!$F$2:$F$85,"Test"))</f>
      </c>
    </row>
    <row r="38" spans="1:4" x14ac:dyDescent="0.25">
      <c r="A38" t="s">
        <v>86</v>
      </c>
      <c r="B38">
        <f>COUNTIF(Tasks!$F$2:$F$85,"UI")</f>
      </c>
      <c r="C38">
        <f>COUNTIFS(Tasks!$F$2:$F$85,"UI",Tasks!$N$2:$N$85,"YES")</f>
      </c>
      <c r="D38" s="13">
        <f>IF(COUNTIF(Tasks!$F$2:$F$85,"UI")=0,0,COUNTIFS(Tasks!$F$2:$F$85,"UI",Tasks!$N$2:$N$85,"YES")/COUNTIF(Tasks!$F$2:$F$85,"UI"))</f>
      </c>
    </row>
    <row r="40" spans="1:4" s="12" customFormat="1" x14ac:dyDescent="0.25">
      <c r="A40" s="12" t="s">
        <v>562</v>
      </c>
      <c r="B40" s="12" t="s">
        <v>557</v>
      </c>
      <c r="C40" s="12" t="s">
        <v>558</v>
      </c>
      <c r="D40" s="12" t="s">
        <v>554</v>
      </c>
    </row>
    <row r="41" spans="1:4" x14ac:dyDescent="0.25">
      <c r="A41" t="s">
        <v>55</v>
      </c>
      <c r="B41">
        <f>COUNTIF(Tasks!$Q$2:$Q$85,"Low")</f>
      </c>
      <c r="C41">
        <f>COUNTIFS(Tasks!$Q$2:$Q$85,"Low",Tasks!$N$2:$N$85,"YES")</f>
      </c>
      <c r="D41" s="13">
        <f>IF(COUNTIF(Tasks!$Q$2:$Q$85,"Low")=0,0,COUNTIFS(Tasks!$Q$2:$Q$85,"Low",Tasks!$N$2:$N$85,"YES")/COUNTIF(Tasks!$Q$2:$Q$85,"Low"))</f>
      </c>
    </row>
    <row r="42" spans="1:4" x14ac:dyDescent="0.25">
      <c r="A42" t="s">
        <v>244</v>
      </c>
      <c r="B42">
        <f>COUNTIF(Tasks!$Q$2:$Q$85,"Medium")</f>
      </c>
      <c r="C42">
        <f>COUNTIFS(Tasks!$Q$2:$Q$85,"Medium",Tasks!$N$2:$N$85,"YES")</f>
      </c>
      <c r="D42" s="13">
        <f>IF(COUNTIF(Tasks!$Q$2:$Q$85,"Medium")=0,0,COUNTIFS(Tasks!$Q$2:$Q$85,"Medium",Tasks!$N$2:$N$85,"YES")/COUNTIF(Tasks!$Q$2:$Q$85,"Medium"))</f>
      </c>
    </row>
    <row r="43" spans="1:4" x14ac:dyDescent="0.25">
      <c r="A43" t="s">
        <v>33</v>
      </c>
      <c r="B43">
        <f>COUNTIF(Tasks!$Q$2:$Q$85,"High")</f>
      </c>
      <c r="C43">
        <f>COUNTIFS(Tasks!$Q$2:$Q$85,"High",Tasks!$N$2:$N$85,"YES")</f>
      </c>
      <c r="D43" s="13">
        <f>IF(COUNTIF(Tasks!$Q$2:$Q$85,"High")=0,0,COUNTIFS(Tasks!$Q$2:$Q$85,"High",Tasks!$N$2:$N$85,"YES")/COUNTIF(Tasks!$Q$2:$Q$85,"High"))</f>
      </c>
    </row>
    <row r="45" spans="1:4" s="12" customFormat="1" x14ac:dyDescent="0.25">
      <c r="A45" s="12" t="s">
        <v>563</v>
      </c>
      <c r="B45" s="12" t="s">
        <v>557</v>
      </c>
      <c r="C45" s="12" t="s">
        <v>558</v>
      </c>
      <c r="D45" s="12" t="s">
        <v>554</v>
      </c>
    </row>
    <row r="46" spans="1:4" x14ac:dyDescent="0.25">
      <c r="A46" t="s">
        <v>34</v>
      </c>
      <c r="B46">
        <f>COUNTIF(Tasks!$R$2:$R$85,"Proceed")</f>
      </c>
      <c r="C46">
        <f>COUNTIFS(Tasks!$R$2:$R$85,"Proceed",Tasks!$N$2:$N$85,"YES")</f>
      </c>
      <c r="D46" s="13">
        <f>IF(COUNTIF(Tasks!$R$2:$R$85,"Proceed")=0,0,COUNTIFS(Tasks!$R$2:$R$85,"Proceed",Tasks!$N$2:$N$85,"YES")/COUNTIF(Tasks!$R$2:$R$85,"Proceed"))</f>
      </c>
    </row>
    <row r="47" spans="1:4" x14ac:dyDescent="0.25">
      <c r="A47" t="s">
        <v>564</v>
      </c>
      <c r="B47">
        <f>COUNTIF(Tasks!$R$2:$R$85,"On-Hold")</f>
      </c>
      <c r="C47">
        <f>COUNTIFS(Tasks!$R$2:$R$85,"On-Hold",Tasks!$N$2:$N$85,"YES")</f>
      </c>
      <c r="D47" s="13">
        <f>IF(COUNTIF(Tasks!$R$2:$R$85,"On-Hold")=0,0,COUNTIFS(Tasks!$R$2:$R$85,"On-Hold",Tasks!$N$2:$N$85,"YES")/COUNTIF(Tasks!$R$2:$R$85,"On-Hold"))</f>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Ideon</dc:creator>
  <dc:title/>
  <dc:subject/>
  <dc:description/>
  <cp:keywords/>
  <cp:category/>
  <cp:lastModifiedBy>Unknown</cp:lastModifiedBy>
  <dcterms:created xsi:type="dcterms:W3CDTF">2026-09-20T09:47:13Z</dcterms:created>
  <dcterms:modified xsi:type="dcterms:W3CDTF">2026-09-20T09:47:13Z</dcterms:modified>
</cp:coreProperties>
</file>